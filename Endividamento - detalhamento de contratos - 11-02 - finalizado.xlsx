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olfo\Desktop\Reunião 12-02-26\"/>
    </mc:Choice>
  </mc:AlternateContent>
  <bookViews>
    <workbookView xWindow="-108" yWindow="-108" windowWidth="23256" windowHeight="12456" activeTab="1"/>
  </bookViews>
  <sheets>
    <sheet name="DINÂMICA" sheetId="2" r:id="rId1"/>
    <sheet name="FLUXO" sheetId="3" r:id="rId2"/>
    <sheet name="BANCO DADOS" sheetId="1" r:id="rId3"/>
  </sheets>
  <definedNames>
    <definedName name="_xlnm._FilterDatabase" localSheetId="2" hidden="1">'BANCO DADOS'!$B$3:$Q$227</definedName>
  </definedNames>
  <calcPr calcId="152511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1" l="1"/>
  <c r="M92" i="1"/>
  <c r="L92" i="1" s="1"/>
  <c r="M91" i="1"/>
  <c r="L91" i="1" s="1"/>
  <c r="M90" i="1"/>
  <c r="M93" i="1"/>
  <c r="L93" i="1"/>
  <c r="M195" i="1" l="1"/>
  <c r="L195" i="1" s="1"/>
  <c r="P195" i="1"/>
  <c r="P5" i="1"/>
  <c r="M55" i="1"/>
  <c r="L55" i="1" s="1"/>
  <c r="M54" i="1"/>
  <c r="L54" i="1" s="1"/>
  <c r="M53" i="1"/>
  <c r="L53" i="1" s="1"/>
  <c r="M52" i="1"/>
  <c r="L52" i="1" s="1"/>
  <c r="M51" i="1"/>
  <c r="M49" i="1"/>
  <c r="L49" i="1" s="1"/>
  <c r="M48" i="1"/>
  <c r="L48" i="1" s="1"/>
  <c r="M47" i="1"/>
  <c r="L47" i="1" s="1"/>
  <c r="M46" i="1"/>
  <c r="M45" i="1"/>
  <c r="L45" i="1" s="1"/>
  <c r="M80" i="1"/>
  <c r="M81" i="1"/>
  <c r="M82" i="1"/>
  <c r="L82" i="1" s="1"/>
  <c r="M83" i="1"/>
  <c r="L83" i="1" s="1"/>
  <c r="M84" i="1"/>
  <c r="L84" i="1" s="1"/>
  <c r="M85" i="1"/>
  <c r="L85" i="1" s="1"/>
  <c r="M86" i="1"/>
  <c r="L86" i="1" s="1"/>
  <c r="M87" i="1"/>
  <c r="M88" i="1"/>
  <c r="M89" i="1"/>
  <c r="M44" i="1"/>
  <c r="L44" i="1" s="1"/>
  <c r="M50" i="1"/>
  <c r="L50" i="1" s="1"/>
  <c r="L95" i="1"/>
  <c r="L90" i="1"/>
  <c r="L98" i="1"/>
  <c r="L97" i="1"/>
  <c r="L99" i="1"/>
  <c r="L4" i="1"/>
  <c r="P135" i="1"/>
  <c r="P134" i="1"/>
  <c r="P133" i="1"/>
  <c r="M133" i="1"/>
  <c r="M134" i="1"/>
  <c r="M135" i="1"/>
  <c r="M136" i="1"/>
  <c r="M137" i="1"/>
  <c r="M138" i="1"/>
  <c r="M139" i="1"/>
  <c r="M140" i="1"/>
  <c r="M127" i="1"/>
  <c r="M128" i="1"/>
  <c r="M129" i="1"/>
  <c r="M130" i="1"/>
  <c r="M131" i="1"/>
  <c r="M132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M221" i="1"/>
  <c r="L221" i="1" s="1"/>
  <c r="M222" i="1"/>
  <c r="L222" i="1" s="1"/>
  <c r="M223" i="1"/>
  <c r="M224" i="1"/>
  <c r="L224" i="1" s="1"/>
  <c r="M225" i="1"/>
  <c r="L225" i="1" s="1"/>
  <c r="M217" i="1"/>
  <c r="L217" i="1" s="1"/>
  <c r="M218" i="1"/>
  <c r="L218" i="1" s="1"/>
  <c r="M219" i="1"/>
  <c r="L219" i="1" s="1"/>
  <c r="M220" i="1"/>
  <c r="L220" i="1" s="1"/>
  <c r="M212" i="1"/>
  <c r="L212" i="1" s="1"/>
  <c r="M213" i="1"/>
  <c r="L213" i="1" s="1"/>
  <c r="M214" i="1"/>
  <c r="L214" i="1" s="1"/>
  <c r="M215" i="1"/>
  <c r="L215" i="1" s="1"/>
  <c r="M208" i="1"/>
  <c r="L208" i="1" s="1"/>
  <c r="M209" i="1"/>
  <c r="L209" i="1" s="1"/>
  <c r="M210" i="1"/>
  <c r="L210" i="1" s="1"/>
  <c r="M211" i="1"/>
  <c r="L211" i="1" s="1"/>
  <c r="M205" i="1"/>
  <c r="L205" i="1" s="1"/>
  <c r="M206" i="1"/>
  <c r="L206" i="1" s="1"/>
  <c r="M207" i="1"/>
  <c r="L207" i="1" s="1"/>
  <c r="M202" i="1"/>
  <c r="L202" i="1" s="1"/>
  <c r="M203" i="1"/>
  <c r="L203" i="1" s="1"/>
  <c r="M204" i="1"/>
  <c r="L204" i="1" s="1"/>
  <c r="M197" i="1"/>
  <c r="L197" i="1" s="1"/>
  <c r="M196" i="1"/>
  <c r="L196" i="1" s="1"/>
  <c r="M194" i="1"/>
  <c r="L194" i="1" s="1"/>
  <c r="M193" i="1"/>
  <c r="L193" i="1" s="1"/>
  <c r="M198" i="1"/>
  <c r="L198" i="1" s="1"/>
  <c r="M186" i="1"/>
  <c r="L186" i="1" s="1"/>
  <c r="M187" i="1"/>
  <c r="L187" i="1" s="1"/>
  <c r="M188" i="1"/>
  <c r="L188" i="1" s="1"/>
  <c r="M189" i="1"/>
  <c r="L189" i="1" s="1"/>
  <c r="M181" i="1"/>
  <c r="L181" i="1" s="1"/>
  <c r="M182" i="1"/>
  <c r="L182" i="1" s="1"/>
  <c r="M183" i="1"/>
  <c r="L183" i="1" s="1"/>
  <c r="M184" i="1"/>
  <c r="L184" i="1" s="1"/>
  <c r="M170" i="1"/>
  <c r="L170" i="1" s="1"/>
  <c r="M171" i="1"/>
  <c r="L171" i="1" s="1"/>
  <c r="M172" i="1"/>
  <c r="L172" i="1" s="1"/>
  <c r="M173" i="1"/>
  <c r="L173" i="1" s="1"/>
  <c r="M166" i="1"/>
  <c r="L166" i="1" s="1"/>
  <c r="M167" i="1"/>
  <c r="L167" i="1" s="1"/>
  <c r="M168" i="1"/>
  <c r="L168" i="1" s="1"/>
  <c r="M169" i="1"/>
  <c r="L169" i="1" s="1"/>
  <c r="M163" i="1"/>
  <c r="L163" i="1" s="1"/>
  <c r="M164" i="1"/>
  <c r="L164" i="1" s="1"/>
  <c r="M165" i="1"/>
  <c r="L165" i="1" s="1"/>
  <c r="M159" i="1"/>
  <c r="L159" i="1" s="1"/>
  <c r="M160" i="1"/>
  <c r="L160" i="1" s="1"/>
  <c r="M161" i="1"/>
  <c r="L161" i="1" s="1"/>
  <c r="M162" i="1"/>
  <c r="L162" i="1" s="1"/>
  <c r="M157" i="1"/>
  <c r="L157" i="1" s="1"/>
  <c r="M158" i="1"/>
  <c r="L158" i="1" s="1"/>
  <c r="M154" i="1"/>
  <c r="L154" i="1" s="1"/>
  <c r="M155" i="1"/>
  <c r="L155" i="1" s="1"/>
  <c r="M156" i="1"/>
  <c r="L156" i="1" s="1"/>
  <c r="M149" i="1"/>
  <c r="L149" i="1" s="1"/>
  <c r="M150" i="1"/>
  <c r="L150" i="1" s="1"/>
  <c r="M151" i="1"/>
  <c r="L151" i="1" s="1"/>
  <c r="M152" i="1"/>
  <c r="L152" i="1" s="1"/>
  <c r="M146" i="1"/>
  <c r="L146" i="1" s="1"/>
  <c r="M147" i="1"/>
  <c r="L147" i="1" s="1"/>
  <c r="M148" i="1"/>
  <c r="L148" i="1" s="1"/>
  <c r="M143" i="1"/>
  <c r="L143" i="1" s="1"/>
  <c r="M144" i="1"/>
  <c r="L144" i="1" s="1"/>
  <c r="M145" i="1"/>
  <c r="L145" i="1" s="1"/>
  <c r="M141" i="1"/>
  <c r="L141" i="1" s="1"/>
  <c r="M142" i="1"/>
  <c r="L142" i="1" s="1"/>
  <c r="M113" i="1"/>
  <c r="L113" i="1" s="1"/>
  <c r="M114" i="1"/>
  <c r="L114" i="1" s="1"/>
  <c r="M115" i="1"/>
  <c r="L115" i="1" s="1"/>
  <c r="M116" i="1"/>
  <c r="L116" i="1" s="1"/>
  <c r="M117" i="1"/>
  <c r="L117" i="1" s="1"/>
  <c r="M108" i="1"/>
  <c r="L108" i="1" s="1"/>
  <c r="M109" i="1"/>
  <c r="L109" i="1" s="1"/>
  <c r="M110" i="1"/>
  <c r="L110" i="1" s="1"/>
  <c r="M111" i="1"/>
  <c r="L111" i="1" s="1"/>
  <c r="M112" i="1"/>
  <c r="L112" i="1" s="1"/>
  <c r="M122" i="1"/>
  <c r="L122" i="1" s="1"/>
  <c r="M123" i="1"/>
  <c r="L123" i="1" s="1"/>
  <c r="M124" i="1"/>
  <c r="L124" i="1" s="1"/>
  <c r="M125" i="1"/>
  <c r="L125" i="1" s="1"/>
  <c r="M118" i="1"/>
  <c r="L118" i="1" s="1"/>
  <c r="M119" i="1"/>
  <c r="L119" i="1" s="1"/>
  <c r="M120" i="1"/>
  <c r="L120" i="1" s="1"/>
  <c r="M121" i="1"/>
  <c r="L121" i="1" s="1"/>
  <c r="M107" i="1"/>
  <c r="L107" i="1" s="1"/>
  <c r="M106" i="1"/>
  <c r="L106" i="1" s="1"/>
  <c r="M105" i="1"/>
  <c r="L105" i="1" s="1"/>
  <c r="M104" i="1"/>
  <c r="L104" i="1" s="1"/>
  <c r="M102" i="1"/>
  <c r="L102" i="1" s="1"/>
  <c r="M103" i="1"/>
  <c r="L103" i="1" s="1"/>
  <c r="M72" i="1"/>
  <c r="L72" i="1" s="1"/>
  <c r="M73" i="1"/>
  <c r="L73" i="1" s="1"/>
  <c r="M74" i="1"/>
  <c r="L74" i="1" s="1"/>
  <c r="M75" i="1"/>
  <c r="L75" i="1" s="1"/>
  <c r="M76" i="1"/>
  <c r="L76" i="1" s="1"/>
  <c r="M67" i="1"/>
  <c r="L67" i="1" s="1"/>
  <c r="M68" i="1"/>
  <c r="L68" i="1" s="1"/>
  <c r="M69" i="1"/>
  <c r="L69" i="1" s="1"/>
  <c r="M70" i="1"/>
  <c r="L70" i="1" s="1"/>
  <c r="M65" i="1"/>
  <c r="L65" i="1" s="1"/>
  <c r="M66" i="1"/>
  <c r="L66" i="1" s="1"/>
  <c r="M61" i="1"/>
  <c r="L61" i="1" s="1"/>
  <c r="M62" i="1"/>
  <c r="L62" i="1" s="1"/>
  <c r="M63" i="1"/>
  <c r="L63" i="1" s="1"/>
  <c r="M64" i="1"/>
  <c r="L64" i="1" s="1"/>
  <c r="M56" i="1"/>
  <c r="L56" i="1" s="1"/>
  <c r="M57" i="1"/>
  <c r="L57" i="1" s="1"/>
  <c r="M58" i="1"/>
  <c r="L58" i="1" s="1"/>
  <c r="M59" i="1"/>
  <c r="L59" i="1" s="1"/>
  <c r="M29" i="1"/>
  <c r="L29" i="1" s="1"/>
  <c r="M30" i="1"/>
  <c r="L30" i="1" s="1"/>
  <c r="M37" i="1"/>
  <c r="L37" i="1" s="1"/>
  <c r="M36" i="1"/>
  <c r="L36" i="1" s="1"/>
  <c r="M35" i="1"/>
  <c r="L35" i="1" s="1"/>
  <c r="M34" i="1"/>
  <c r="L34" i="1" s="1"/>
  <c r="M31" i="1"/>
  <c r="L31" i="1" s="1"/>
  <c r="M32" i="1"/>
  <c r="L32" i="1" s="1"/>
  <c r="M33" i="1"/>
  <c r="L33" i="1" s="1"/>
  <c r="M26" i="1"/>
  <c r="L26" i="1" s="1"/>
  <c r="M27" i="1"/>
  <c r="L27" i="1" s="1"/>
  <c r="M28" i="1"/>
  <c r="L28" i="1" s="1"/>
  <c r="M24" i="1"/>
  <c r="L24" i="1" s="1"/>
  <c r="M25" i="1"/>
  <c r="L25" i="1" s="1"/>
  <c r="M22" i="1"/>
  <c r="L22" i="1" s="1"/>
  <c r="M23" i="1"/>
  <c r="L23" i="1" s="1"/>
  <c r="M21" i="1"/>
  <c r="L21" i="1" s="1"/>
  <c r="M20" i="1"/>
  <c r="L20" i="1" s="1"/>
  <c r="L11" i="1"/>
  <c r="L19" i="1"/>
  <c r="L38" i="1"/>
  <c r="L39" i="1"/>
  <c r="L40" i="1"/>
  <c r="L41" i="1"/>
  <c r="L42" i="1"/>
  <c r="L43" i="1"/>
  <c r="L46" i="1"/>
  <c r="L51" i="1"/>
  <c r="L60" i="1"/>
  <c r="L71" i="1"/>
  <c r="L77" i="1"/>
  <c r="L78" i="1"/>
  <c r="L79" i="1"/>
  <c r="L80" i="1"/>
  <c r="L81" i="1"/>
  <c r="L87" i="1"/>
  <c r="L88" i="1"/>
  <c r="L89" i="1"/>
  <c r="L96" i="1"/>
  <c r="L101" i="1"/>
  <c r="L126" i="1"/>
  <c r="L153" i="1"/>
  <c r="L185" i="1"/>
  <c r="L190" i="1"/>
  <c r="L191" i="1"/>
  <c r="L192" i="1"/>
  <c r="L199" i="1"/>
  <c r="L200" i="1"/>
  <c r="L216" i="1"/>
  <c r="L223" i="1"/>
  <c r="L226" i="1"/>
  <c r="L227" i="1"/>
  <c r="M12" i="1"/>
  <c r="L12" i="1" s="1"/>
  <c r="M13" i="1"/>
  <c r="L13" i="1" s="1"/>
  <c r="M14" i="1"/>
  <c r="L14" i="1" s="1"/>
  <c r="M17" i="1"/>
  <c r="L17" i="1" s="1"/>
  <c r="M18" i="1"/>
  <c r="L18" i="1" s="1"/>
  <c r="M15" i="1"/>
  <c r="L15" i="1" s="1"/>
  <c r="M16" i="1"/>
  <c r="L16" i="1" s="1"/>
  <c r="M10" i="1"/>
  <c r="L10" i="1" s="1"/>
  <c r="M9" i="1"/>
  <c r="L9" i="1" s="1"/>
  <c r="M8" i="1"/>
  <c r="L8" i="1" s="1"/>
  <c r="M6" i="1"/>
  <c r="L6" i="1" s="1"/>
  <c r="M7" i="1"/>
  <c r="L7" i="1" s="1"/>
  <c r="P4" i="1" l="1"/>
</calcChain>
</file>

<file path=xl/sharedStrings.xml><?xml version="1.0" encoding="utf-8"?>
<sst xmlns="http://schemas.openxmlformats.org/spreadsheetml/2006/main" count="1639" uniqueCount="71">
  <si>
    <t>TITULAR</t>
  </si>
  <si>
    <t>Modalidade</t>
  </si>
  <si>
    <t xml:space="preserve">BANCO </t>
  </si>
  <si>
    <t>TIPO</t>
  </si>
  <si>
    <t>ANO</t>
  </si>
  <si>
    <t>N° de contrato</t>
  </si>
  <si>
    <t>DATA DA PARCELA</t>
  </si>
  <si>
    <t>Ivan</t>
  </si>
  <si>
    <t>Custeio</t>
  </si>
  <si>
    <t>CEF</t>
  </si>
  <si>
    <t>CURTO PRAZO</t>
  </si>
  <si>
    <t>ANO 2026</t>
  </si>
  <si>
    <t>Anual</t>
  </si>
  <si>
    <t>Adriana</t>
  </si>
  <si>
    <t>CPR</t>
  </si>
  <si>
    <t>BB</t>
  </si>
  <si>
    <t>João</t>
  </si>
  <si>
    <t>CNH</t>
  </si>
  <si>
    <t>LONGO PRAZO</t>
  </si>
  <si>
    <t>ANO 2027</t>
  </si>
  <si>
    <t>ANO 2028</t>
  </si>
  <si>
    <t>ANO 2029</t>
  </si>
  <si>
    <t>ANO 2030</t>
  </si>
  <si>
    <t>ANO 2031</t>
  </si>
  <si>
    <t>BB FCO RURAL</t>
  </si>
  <si>
    <t>Neila</t>
  </si>
  <si>
    <t>MODERFROTA BB</t>
  </si>
  <si>
    <t>BB INV. AGROPECUARIO</t>
  </si>
  <si>
    <t>BB INVESTE AGRO</t>
  </si>
  <si>
    <t>FCO RURAL</t>
  </si>
  <si>
    <t>BB Invest Agro</t>
  </si>
  <si>
    <t>Aditivo</t>
  </si>
  <si>
    <t>ANUAL</t>
  </si>
  <si>
    <t>Jhon deer 2025</t>
  </si>
  <si>
    <t>JD</t>
  </si>
  <si>
    <t>Jhon deer 2026</t>
  </si>
  <si>
    <t>Bradesco</t>
  </si>
  <si>
    <t>BRADESCO</t>
  </si>
  <si>
    <t>BB Custeio</t>
  </si>
  <si>
    <t>Única</t>
  </si>
  <si>
    <t>Bradesco Avião Leasing</t>
  </si>
  <si>
    <t>001383088-2</t>
  </si>
  <si>
    <t>Semestral</t>
  </si>
  <si>
    <t xml:space="preserve"> Investimento</t>
  </si>
  <si>
    <t>BASA</t>
  </si>
  <si>
    <t>183-23/0089-4</t>
  </si>
  <si>
    <t>183-23/0104-1</t>
  </si>
  <si>
    <t>183-25/5087-4</t>
  </si>
  <si>
    <t>183-25/5088-2</t>
  </si>
  <si>
    <t>Sicoob</t>
  </si>
  <si>
    <t>SICOOB</t>
  </si>
  <si>
    <t>Colheiradeira João</t>
  </si>
  <si>
    <t>Itau</t>
  </si>
  <si>
    <t>ITAU</t>
  </si>
  <si>
    <t>Ano 2028</t>
  </si>
  <si>
    <t>TAXA</t>
  </si>
  <si>
    <t>HOJE</t>
  </si>
  <si>
    <t>Rótulos de Linha</t>
  </si>
  <si>
    <t>Total Geral</t>
  </si>
  <si>
    <t>Periodicidade</t>
  </si>
  <si>
    <t>Rótulos de Coluna</t>
  </si>
  <si>
    <t>Soma de Saldo devedor</t>
  </si>
  <si>
    <t>MOEDA</t>
  </si>
  <si>
    <t>REAIS</t>
  </si>
  <si>
    <t>DOLAR</t>
  </si>
  <si>
    <t>VALOR PARCELA</t>
  </si>
  <si>
    <t>SALDO DEVEDOR</t>
  </si>
  <si>
    <t>DATA CONTRATAÇÃO</t>
  </si>
  <si>
    <t>MÊS PARCELA</t>
  </si>
  <si>
    <t>DATA FIM CONTRATO</t>
  </si>
  <si>
    <t>Soma de VALOR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</si>
</sst>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center"/>
    </xf>
    <xf numFmtId="43" fontId="3" fillId="6" borderId="0" xfId="1" applyFont="1" applyFill="1" applyAlignment="1">
      <alignment horizontal="center"/>
    </xf>
    <xf numFmtId="10" fontId="3" fillId="6" borderId="0" xfId="2" applyNumberFormat="1" applyFont="1" applyFill="1" applyAlignment="1">
      <alignment horizontal="center"/>
    </xf>
    <xf numFmtId="10" fontId="3" fillId="6" borderId="1" xfId="2" applyNumberFormat="1" applyFont="1" applyFill="1" applyBorder="1" applyAlignment="1">
      <alignment horizontal="center"/>
    </xf>
    <xf numFmtId="10" fontId="3" fillId="6" borderId="1" xfId="2" applyNumberFormat="1" applyFont="1" applyFill="1" applyBorder="1" applyAlignment="1">
      <alignment horizontal="center" vertical="center" wrapText="1"/>
    </xf>
    <xf numFmtId="10" fontId="3" fillId="6" borderId="1" xfId="2" applyNumberFormat="1" applyFont="1" applyFill="1" applyBorder="1" applyAlignment="1">
      <alignment horizontal="center" vertical="center"/>
    </xf>
    <xf numFmtId="10" fontId="3" fillId="6" borderId="3" xfId="2" applyNumberFormat="1" applyFont="1" applyFill="1" applyBorder="1" applyAlignment="1">
      <alignment horizontal="center"/>
    </xf>
    <xf numFmtId="43" fontId="3" fillId="6" borderId="1" xfId="1" applyFont="1" applyFill="1" applyBorder="1"/>
    <xf numFmtId="43" fontId="3" fillId="6" borderId="1" xfId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right"/>
    </xf>
    <xf numFmtId="43" fontId="3" fillId="6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10" fontId="5" fillId="6" borderId="1" xfId="2" applyNumberFormat="1" applyFont="1" applyFill="1" applyBorder="1" applyAlignment="1">
      <alignment horizontal="center"/>
    </xf>
    <xf numFmtId="43" fontId="5" fillId="6" borderId="1" xfId="1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0" fontId="5" fillId="6" borderId="1" xfId="2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0" fontId="6" fillId="6" borderId="1" xfId="2" applyNumberFormat="1" applyFont="1" applyFill="1" applyBorder="1" applyAlignment="1">
      <alignment horizontal="center"/>
    </xf>
    <xf numFmtId="43" fontId="6" fillId="6" borderId="1" xfId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0" fontId="6" fillId="6" borderId="1" xfId="2" applyNumberFormat="1" applyFont="1" applyFill="1" applyBorder="1" applyAlignment="1">
      <alignment horizontal="center" vertical="center" wrapText="1"/>
    </xf>
    <xf numFmtId="43" fontId="6" fillId="6" borderId="1" xfId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0" fontId="6" fillId="6" borderId="1" xfId="2" applyNumberFormat="1" applyFont="1" applyFill="1" applyBorder="1" applyAlignment="1">
      <alignment horizontal="center" vertical="center"/>
    </xf>
    <xf numFmtId="0" fontId="6" fillId="3" borderId="0" xfId="0" applyFont="1" applyFill="1"/>
    <xf numFmtId="10" fontId="3" fillId="7" borderId="1" xfId="2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0" fontId="3" fillId="7" borderId="3" xfId="2" applyNumberFormat="1" applyFont="1" applyFill="1" applyBorder="1" applyAlignment="1">
      <alignment horizontal="center"/>
    </xf>
    <xf numFmtId="43" fontId="3" fillId="7" borderId="1" xfId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10" fontId="3" fillId="8" borderId="1" xfId="2" applyNumberFormat="1" applyFont="1" applyFill="1" applyBorder="1" applyAlignment="1">
      <alignment horizontal="center"/>
    </xf>
    <xf numFmtId="43" fontId="3" fillId="8" borderId="1" xfId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/>
    </xf>
    <xf numFmtId="10" fontId="3" fillId="9" borderId="1" xfId="2" applyNumberFormat="1" applyFont="1" applyFill="1" applyBorder="1" applyAlignment="1">
      <alignment horizontal="center"/>
    </xf>
    <xf numFmtId="43" fontId="3" fillId="9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/>
    </xf>
    <xf numFmtId="10" fontId="3" fillId="10" borderId="1" xfId="2" applyNumberFormat="1" applyFont="1" applyFill="1" applyBorder="1" applyAlignment="1">
      <alignment horizontal="center"/>
    </xf>
    <xf numFmtId="43" fontId="3" fillId="10" borderId="1" xfId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43" fontId="3" fillId="11" borderId="1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43" fontId="0" fillId="0" borderId="0" xfId="1" applyFont="1"/>
    <xf numFmtId="10" fontId="2" fillId="2" borderId="1" xfId="2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/>
    </xf>
    <xf numFmtId="10" fontId="3" fillId="2" borderId="1" xfId="2" applyNumberFormat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4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3" fontId="0" fillId="12" borderId="0" xfId="0" applyNumberFormat="1" applyFill="1"/>
    <xf numFmtId="0" fontId="0" fillId="13" borderId="0" xfId="0" applyFill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14" borderId="0" xfId="0" applyFill="1" applyAlignment="1">
      <alignment horizontal="left" vertical="center"/>
    </xf>
    <xf numFmtId="43" fontId="7" fillId="14" borderId="0" xfId="0" applyNumberFormat="1" applyFont="1" applyFill="1" applyAlignment="1">
      <alignment vertical="center"/>
    </xf>
    <xf numFmtId="43" fontId="0" fillId="14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164" fontId="0" fillId="13" borderId="3" xfId="0" applyNumberForma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48"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vertical="center"/>
    </dxf>
    <dxf>
      <alignment vertical="center"/>
    </dxf>
    <dxf>
      <alignment vertic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</dxf>
    <dxf>
      <numFmt numFmtId="35" formatCode="_-* #,##0.00_-;\-* #,##0.00_-;_-* &quot;-&quot;??_-;_-@_-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35" formatCode="_-* #,##0.00_-;\-* #,##0.00_-;_-* &quot;-&quot;??_-;_-@_-"/>
    </dxf>
    <dxf>
      <fill>
        <patternFill patternType="solid">
          <bgColor theme="9" tint="0.59999389629810485"/>
        </patternFill>
      </fill>
    </dxf>
    <dxf>
      <numFmt numFmtId="35" formatCode="_-* #,##0.00_-;\-* #,##0.00_-;_-* &quot;-&quot;??_-;_-@_-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font>
        <color auto="1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vertical="center"/>
    </dxf>
    <dxf>
      <alignment vertical="center"/>
    </dxf>
    <dxf>
      <alignment vertical="center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numFmt numFmtId="35" formatCode="_-* #,##0.00_-;\-* #,##0.00_-;_-* &quot;-&quot;??_-;_-@_-"/>
    </dxf>
    <dxf>
      <fill>
        <patternFill patternType="solid">
          <bgColor theme="9" tint="0.59999389629810485"/>
        </patternFill>
      </fill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dolfo" refreshedDate="46088.63114189815" createdVersion="8" refreshedVersion="5" minRefreshableVersion="3" recordCount="224">
  <cacheSource type="worksheet">
    <worksheetSource ref="B3:Q227" sheet="BANCO DADOS"/>
  </cacheSource>
  <cacheFields count="16">
    <cacheField name="TITULAR" numFmtId="0">
      <sharedItems/>
    </cacheField>
    <cacheField name="MOEDA" numFmtId="0">
      <sharedItems/>
    </cacheField>
    <cacheField name="Modalidade" numFmtId="0">
      <sharedItems/>
    </cacheField>
    <cacheField name="BANCO " numFmtId="0">
      <sharedItems count="8">
        <s v="CEF"/>
        <s v="BB"/>
        <s v="JD"/>
        <s v="BRADESCO"/>
        <s v="BASA"/>
        <s v="ITAU"/>
        <s v="CNH"/>
        <s v="SICOOB"/>
      </sharedItems>
    </cacheField>
    <cacheField name="TIPO" numFmtId="0">
      <sharedItems count="2">
        <s v="CURTO PRAZO"/>
        <s v="LONGO PRAZO"/>
      </sharedItems>
    </cacheField>
    <cacheField name="ANO" numFmtId="0">
      <sharedItems count="6">
        <s v="ANO 2026"/>
        <s v="ANO 2027"/>
        <s v="ANO 2028"/>
        <s v="ANO 2029"/>
        <s v="ANO 2030"/>
        <s v="ANO 2031"/>
      </sharedItems>
    </cacheField>
    <cacheField name="N° de contrato" numFmtId="0">
      <sharedItems containsBlank="1" containsMixedTypes="1" containsNumber="1" containsInteger="1" minValue="288818" maxValue="106323050013800"/>
    </cacheField>
    <cacheField name="Periodicidade" numFmtId="0">
      <sharedItems/>
    </cacheField>
    <cacheField name="HOJE" numFmtId="14">
      <sharedItems containsSemiMixedTypes="0" containsNonDate="0" containsDate="1" containsString="0" minDate="2026-02-13T00:00:00" maxDate="2026-02-14T00:00:00"/>
    </cacheField>
    <cacheField name="TAXA" numFmtId="10">
      <sharedItems containsSemiMixedTypes="0" containsString="0" containsNumber="1" minValue="4.87E-2" maxValue="0.19"/>
    </cacheField>
    <cacheField name="VALOR PARCELA" numFmtId="43">
      <sharedItems containsSemiMixedTypes="0" containsString="0" containsNumber="1" minValue="21625.581079488889" maxValue="10066397.409348266"/>
    </cacheField>
    <cacheField name="SALDO DEVEDOR" numFmtId="43">
      <sharedItems containsSemiMixedTypes="0" containsString="0" containsNumber="1" minValue="21559.8475" maxValue="9899903.0399999991"/>
    </cacheField>
    <cacheField name="DATA CONTRATAÇÃO" numFmtId="14">
      <sharedItems containsSemiMixedTypes="0" containsNonDate="0" containsDate="1" containsString="0" minDate="2017-09-22T00:00:00" maxDate="2025-12-04T00:00:00"/>
    </cacheField>
    <cacheField name="DATA DA PARCELA" numFmtId="14">
      <sharedItems containsSemiMixedTypes="0" containsNonDate="0" containsDate="1" containsString="0" minDate="2026-02-01T00:00:00" maxDate="2031-05-16T00:00:00"/>
    </cacheField>
    <cacheField name="MÊS PARCELA" numFmtId="164">
      <sharedItems containsSemiMixedTypes="0" containsString="0" containsNumber="1" containsInteger="1" minValue="1" maxValue="12" count="12">
        <n v="4"/>
        <n v="10"/>
        <n v="5"/>
        <n v="7"/>
        <n v="6"/>
        <n v="8"/>
        <n v="1"/>
        <n v="2"/>
        <n v="3"/>
        <n v="12"/>
        <n v="11"/>
        <n v="9"/>
      </sharedItems>
    </cacheField>
    <cacheField name="DATA FIM CONTRATO" numFmtId="14">
      <sharedItems containsSemiMixedTypes="0" containsNonDate="0" containsDate="1" containsString="0" minDate="2026-01-10T00:00:00" maxDate="2031-05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s v="Ivan"/>
    <s v="REAIS"/>
    <s v="Custeio"/>
    <x v="0"/>
    <x v="0"/>
    <x v="0"/>
    <n v="288818"/>
    <s v="Anual"/>
    <d v="2026-02-13T00:00:00"/>
    <n v="0.14000000000000001"/>
    <n v="2525300.2599999998"/>
    <n v="2317143.5326502519"/>
    <d v="2025-11-10T00:00:00"/>
    <d v="2026-04-16T00:00:00"/>
    <x v="0"/>
    <d v="2026-04-16T00:00:00"/>
  </r>
  <r>
    <s v="Ivan"/>
    <s v="REAIS"/>
    <s v="Custeio"/>
    <x v="0"/>
    <x v="0"/>
    <x v="0"/>
    <n v="289702"/>
    <s v="Anual"/>
    <d v="2026-02-13T00:00:00"/>
    <n v="0.14000000000000001"/>
    <n v="2428391.59"/>
    <n v="2228222.8995259209"/>
    <d v="2025-11-10T00:00:00"/>
    <d v="2026-10-02T00:00:00"/>
    <x v="1"/>
    <d v="2026-10-02T00:00:00"/>
  </r>
  <r>
    <s v="Ivan"/>
    <s v="REAIS"/>
    <s v="BB FCO RURAL"/>
    <x v="1"/>
    <x v="1"/>
    <x v="0"/>
    <n v="4007910"/>
    <s v="Anual"/>
    <d v="2026-02-13T00:00:00"/>
    <n v="7.4999999999999997E-2"/>
    <n v="207708.83333333334"/>
    <n v="204000"/>
    <d v="2018-01-12T00:00:00"/>
    <d v="2026-05-01T00:00:00"/>
    <x v="2"/>
    <d v="2027-05-01T00:00:00"/>
  </r>
  <r>
    <s v="Ivan"/>
    <s v="REAIS"/>
    <s v="BB FCO RURAL"/>
    <x v="1"/>
    <x v="1"/>
    <x v="1"/>
    <n v="4007910"/>
    <s v="Anual"/>
    <d v="2026-02-13T00:00:00"/>
    <n v="7.4999999999999997E-2"/>
    <n v="225289.66666666666"/>
    <n v="204000"/>
    <d v="2018-01-12T00:00:00"/>
    <d v="2027-05-01T00:00:00"/>
    <x v="2"/>
    <d v="2027-05-01T00:00:00"/>
  </r>
  <r>
    <s v="Ivan"/>
    <s v="REAIS"/>
    <s v="BB FCO RURAL"/>
    <x v="1"/>
    <x v="1"/>
    <x v="0"/>
    <n v="4008354"/>
    <s v="Anual"/>
    <d v="2026-02-13T00:00:00"/>
    <n v="5.8599999999999999E-2"/>
    <n v="144664.13028793334"/>
    <n v="140957.42000000001"/>
    <d v="2018-09-12T00:00:00"/>
    <d v="2026-07-01T00:00:00"/>
    <x v="3"/>
    <d v="2028-07-01T00:00:00"/>
  </r>
  <r>
    <s v="Ivan"/>
    <s v="REAIS"/>
    <s v="BB FCO RURAL"/>
    <x v="1"/>
    <x v="1"/>
    <x v="1"/>
    <n v="4008354"/>
    <s v="Anual"/>
    <d v="2026-02-13T00:00:00"/>
    <n v="5.8599999999999999E-2"/>
    <n v="154468.11039732222"/>
    <n v="140957.42000000001"/>
    <d v="2018-09-12T00:00:00"/>
    <d v="2027-07-01T00:00:00"/>
    <x v="3"/>
    <d v="2028-07-01T00:00:00"/>
  </r>
  <r>
    <s v="Ivan"/>
    <s v="REAIS"/>
    <s v="BB FCO RURAL"/>
    <x v="1"/>
    <x v="1"/>
    <x v="2"/>
    <n v="4008354"/>
    <s v="Anual"/>
    <d v="2026-02-13T00:00:00"/>
    <n v="5.8599999999999999E-2"/>
    <n v="164298.95072618889"/>
    <n v="140957.42000000001"/>
    <d v="2018-09-12T00:00:00"/>
    <d v="2028-07-01T00:00:00"/>
    <x v="3"/>
    <d v="2028-07-01T00:00:00"/>
  </r>
  <r>
    <s v="Ivan"/>
    <s v="REAIS"/>
    <s v="BB FCO RURAL"/>
    <x v="1"/>
    <x v="1"/>
    <x v="0"/>
    <n v="4008699"/>
    <s v="Anual"/>
    <d v="2026-02-13T00:00:00"/>
    <n v="5.8599999999999999E-2"/>
    <n v="36133.400166599997"/>
    <n v="35404.769999999997"/>
    <d v="2019-05-06T00:00:00"/>
    <d v="2026-06-01T00:00:00"/>
    <x v="4"/>
    <d v="2026-06-01T00:00:00"/>
  </r>
  <r>
    <s v="Ivan"/>
    <s v="REAIS"/>
    <s v="BB FCO RURAL"/>
    <x v="1"/>
    <x v="1"/>
    <x v="0"/>
    <n v="4008917"/>
    <s v="Anual"/>
    <d v="2026-02-13T00:00:00"/>
    <n v="4.87E-2"/>
    <n v="335186.18150042591"/>
    <n v="323070.15333333332"/>
    <d v="2020-07-07T00:00:00"/>
    <d v="2026-10-01T00:00:00"/>
    <x v="1"/>
    <d v="2028-10-01T00:00:00"/>
  </r>
  <r>
    <s v="Ivan"/>
    <s v="REAIS"/>
    <s v="BB FCO RURAL"/>
    <x v="1"/>
    <x v="1"/>
    <x v="1"/>
    <n v="4008917"/>
    <s v="Anual"/>
    <d v="2026-02-13T00:00:00"/>
    <n v="4.87E-2"/>
    <n v="354413.79141776852"/>
    <n v="323070.15333333332"/>
    <d v="2020-07-07T00:00:00"/>
    <d v="2027-10-01T00:00:00"/>
    <x v="1"/>
    <d v="2028-10-01T00:00:00"/>
  </r>
  <r>
    <s v="Ivan"/>
    <s v="REAIS"/>
    <s v="BB FCO RURAL"/>
    <x v="1"/>
    <x v="1"/>
    <x v="2"/>
    <n v="4008917"/>
    <s v="Anual"/>
    <d v="2026-02-13T00:00:00"/>
    <n v="4.87E-2"/>
    <n v="373694.07971844624"/>
    <n v="323070.15333333332"/>
    <d v="2020-07-07T00:00:00"/>
    <d v="2028-10-01T00:00:00"/>
    <x v="1"/>
    <d v="2028-10-01T00:00:00"/>
  </r>
  <r>
    <s v="Ivan"/>
    <s v="REAIS"/>
    <s v="BB INV. AGROPECUARIO"/>
    <x v="1"/>
    <x v="1"/>
    <x v="0"/>
    <n v="4008921"/>
    <s v="Anual"/>
    <d v="2026-02-13T00:00:00"/>
    <n v="7.4999999999999997E-2"/>
    <n v="36108.747335833337"/>
    <n v="34969.33"/>
    <d v="2020-07-16T00:00:00"/>
    <d v="2026-07-01T00:00:00"/>
    <x v="3"/>
    <d v="2027-07-01T00:00:00"/>
  </r>
  <r>
    <s v="Ivan"/>
    <s v="REAIS"/>
    <s v="BB INV. AGROPECUARIO"/>
    <x v="1"/>
    <x v="1"/>
    <x v="1"/>
    <n v="4008921"/>
    <s v="Anual"/>
    <d v="2026-02-13T00:00:00"/>
    <n v="7.4999999999999997E-2"/>
    <n v="39122.423622638889"/>
    <n v="34969.33"/>
    <d v="2020-07-16T00:00:00"/>
    <d v="2027-07-01T00:00:00"/>
    <x v="3"/>
    <d v="2027-07-01T00:00:00"/>
  </r>
  <r>
    <s v="Ivan"/>
    <s v="REAIS"/>
    <s v="BB INV. AGROPECUARIO"/>
    <x v="1"/>
    <x v="1"/>
    <x v="0"/>
    <n v="4008924"/>
    <s v="Anual"/>
    <d v="2026-02-13T00:00:00"/>
    <n v="7.4999999999999997E-2"/>
    <n v="34783.398236666661"/>
    <n v="33578.31"/>
    <d v="2020-07-21T00:00:00"/>
    <d v="2026-07-15T00:00:00"/>
    <x v="3"/>
    <d v="2027-07-15T00:00:00"/>
  </r>
  <r>
    <s v="Ivan"/>
    <s v="REAIS"/>
    <s v="BB INV. AGROPECUARIO"/>
    <x v="1"/>
    <x v="1"/>
    <x v="1"/>
    <n v="4008924"/>
    <s v="Anual"/>
    <d v="2026-02-13T00:00:00"/>
    <n v="7.4999999999999997E-2"/>
    <n v="37677.195647083332"/>
    <n v="33578.31"/>
    <d v="2020-07-21T00:00:00"/>
    <d v="2027-07-15T00:00:00"/>
    <x v="3"/>
    <d v="2027-07-15T00:00:00"/>
  </r>
  <r>
    <s v="Ivan"/>
    <s v="REAIS"/>
    <s v="BB INV. AGROPECUARIO"/>
    <x v="1"/>
    <x v="1"/>
    <x v="0"/>
    <n v="4008926"/>
    <s v="Anual"/>
    <d v="2026-02-13T00:00:00"/>
    <n v="8.5000000000000006E-2"/>
    <n v="138628.30933361111"/>
    <n v="132709.82"/>
    <d v="2020-08-06T00:00:00"/>
    <d v="2026-08-01T00:00:00"/>
    <x v="5"/>
    <d v="2026-08-01T00:00:00"/>
  </r>
  <r>
    <s v="Ivan"/>
    <s v="REAIS"/>
    <s v="BB INVESTE AGRO"/>
    <x v="1"/>
    <x v="1"/>
    <x v="1"/>
    <n v="4008949"/>
    <s v="Anual"/>
    <d v="2026-02-13T00:00:00"/>
    <n v="8.7499999999999994E-2"/>
    <n v="893723.12303531251"/>
    <n v="818162.41500000004"/>
    <d v="2021-01-27T00:00:00"/>
    <d v="2027-01-20T00:00:00"/>
    <x v="6"/>
    <d v="2027-01-20T00:00:00"/>
  </r>
  <r>
    <s v="Ivan"/>
    <s v="REAIS"/>
    <s v="BB INVESTE AGRO"/>
    <x v="1"/>
    <x v="1"/>
    <x v="2"/>
    <n v="4008949"/>
    <s v="Anual"/>
    <d v="2026-02-13T00:00:00"/>
    <n v="8.7499999999999994E-2"/>
    <n v="974601.886768125"/>
    <n v="818162.41500000004"/>
    <d v="2021-01-27T00:00:00"/>
    <d v="2028-01-20T00:00:00"/>
    <x v="6"/>
    <d v="2028-01-20T00:00:00"/>
  </r>
  <r>
    <s v="Ivan"/>
    <s v="REAIS"/>
    <s v="BB INVESTE AGRO"/>
    <x v="1"/>
    <x v="1"/>
    <x v="0"/>
    <n v="4008953"/>
    <s v="Anual"/>
    <d v="2026-02-13T00:00:00"/>
    <n v="8.7499999999999994E-2"/>
    <n v="581306.87558125006"/>
    <n v="580206.9"/>
    <d v="2021-02-25T00:00:00"/>
    <d v="2026-02-20T00:00:00"/>
    <x v="7"/>
    <d v="2027-02-20T00:00:00"/>
  </r>
  <r>
    <s v="Ivan"/>
    <s v="REAIS"/>
    <s v="BB INVESTE AGRO"/>
    <x v="1"/>
    <x v="1"/>
    <x v="1"/>
    <n v="4008953"/>
    <s v="Anual"/>
    <d v="2026-02-13T00:00:00"/>
    <n v="8.7499999999999994E-2"/>
    <n v="638662.74517500005"/>
    <n v="580206.9"/>
    <d v="2021-02-25T00:00:00"/>
    <d v="2027-02-20T00:00:00"/>
    <x v="7"/>
    <d v="2027-02-20T00:00:00"/>
  </r>
  <r>
    <s v="Ivan"/>
    <s v="REAIS"/>
    <s v="BB INVESTE AGRO"/>
    <x v="1"/>
    <x v="1"/>
    <x v="0"/>
    <n v="4008980"/>
    <s v="Anual"/>
    <d v="2026-02-13T00:00:00"/>
    <n v="8.7499999999999994E-2"/>
    <n v="53091.888744791671"/>
    <n v="52734.83"/>
    <d v="2021-03-16T00:00:00"/>
    <d v="2026-03-10T00:00:00"/>
    <x v="8"/>
    <d v="2027-03-10T00:00:00"/>
  </r>
  <r>
    <s v="Ivan"/>
    <s v="REAIS"/>
    <s v="BB INVESTE AGRO"/>
    <x v="1"/>
    <x v="1"/>
    <x v="1"/>
    <n v="4008980"/>
    <s v="Anual"/>
    <d v="2026-02-13T00:00:00"/>
    <n v="8.7499999999999994E-2"/>
    <n v="58304.946418749998"/>
    <n v="52734.83"/>
    <d v="2021-03-16T00:00:00"/>
    <d v="2027-03-10T00:00:00"/>
    <x v="8"/>
    <d v="2027-03-10T00:00:00"/>
  </r>
  <r>
    <s v="Ivan"/>
    <s v="REAIS"/>
    <s v="BB INVESTE AGRO"/>
    <x v="1"/>
    <x v="1"/>
    <x v="0"/>
    <n v="4009270"/>
    <s v="Anual"/>
    <d v="2026-02-13T00:00:00"/>
    <n v="0.09"/>
    <n v="483762.97584074078"/>
    <n v="453055.85666666669"/>
    <d v="2021-10-28T00:00:00"/>
    <d v="2026-10-15T00:00:00"/>
    <x v="1"/>
    <d v="2028-10-15T00:00:00"/>
  </r>
  <r>
    <s v="Ivan"/>
    <s v="REAIS"/>
    <s v="BB INVESTE AGRO"/>
    <x v="1"/>
    <x v="1"/>
    <x v="1"/>
    <n v="4009270"/>
    <s v="Anual"/>
    <d v="2026-02-13T00:00:00"/>
    <n v="0.09"/>
    <n v="529697.80575277784"/>
    <n v="453055.85666666669"/>
    <d v="2021-10-28T00:00:00"/>
    <d v="2027-10-15T00:00:00"/>
    <x v="1"/>
    <d v="2028-10-15T00:00:00"/>
  </r>
  <r>
    <s v="Ivan"/>
    <s v="REAIS"/>
    <s v="BB INVESTE AGRO"/>
    <x v="1"/>
    <x v="1"/>
    <x v="2"/>
    <n v="4009270"/>
    <s v="Anual"/>
    <d v="2026-02-13T00:00:00"/>
    <n v="0.09"/>
    <n v="575758.48451388895"/>
    <n v="453055.85666666669"/>
    <d v="2021-10-28T00:00:00"/>
    <d v="2028-10-15T00:00:00"/>
    <x v="1"/>
    <d v="2028-10-15T00:00:00"/>
  </r>
  <r>
    <s v="Ivan"/>
    <s v="REAIS"/>
    <s v="BB FCO RURAL"/>
    <x v="1"/>
    <x v="1"/>
    <x v="0"/>
    <n v="4009322"/>
    <s v="Anual"/>
    <d v="2026-02-13T00:00:00"/>
    <n v="6.5600000000000006E-2"/>
    <n v="291687.75859525002"/>
    <n v="274889.27500000002"/>
    <d v="2022-02-14T00:00:00"/>
    <d v="2026-12-01T00:00:00"/>
    <x v="9"/>
    <d v="2027-12-01T00:00:00"/>
  </r>
  <r>
    <s v="Ivan"/>
    <s v="REAIS"/>
    <s v="BB FCO RURAL"/>
    <x v="1"/>
    <x v="1"/>
    <x v="1"/>
    <n v="4009322"/>
    <s v="Anual"/>
    <d v="2026-02-13T00:00:00"/>
    <n v="6.5600000000000006E-2"/>
    <n v="312758.02152400004"/>
    <n v="274889.27500000002"/>
    <d v="2022-02-14T00:00:00"/>
    <d v="2027-12-01T00:00:00"/>
    <x v="9"/>
    <d v="2027-12-01T00:00:00"/>
  </r>
  <r>
    <s v="Ivan"/>
    <s v="REAIS"/>
    <s v="BB INVESTE AGRO"/>
    <x v="1"/>
    <x v="1"/>
    <x v="1"/>
    <n v="4009345"/>
    <s v="Anual"/>
    <d v="2026-02-13T00:00:00"/>
    <n v="0.11600000000000001"/>
    <n v="675100.216472"/>
    <n v="604062.47"/>
    <d v="2022-01-25T00:00:00"/>
    <d v="2027-01-15T00:00:00"/>
    <x v="6"/>
    <d v="2029-01-15T00:00:00"/>
  </r>
  <r>
    <s v="Ivan"/>
    <s v="REAIS"/>
    <s v="BB INVESTE AGRO"/>
    <x v="1"/>
    <x v="1"/>
    <x v="2"/>
    <n v="4009345"/>
    <s v="Anual"/>
    <d v="2026-02-13T00:00:00"/>
    <n v="0.11600000000000001"/>
    <n v="752269.19701449992"/>
    <n v="604062.47"/>
    <d v="2022-01-25T00:00:00"/>
    <d v="2028-01-15T00:00:00"/>
    <x v="6"/>
    <d v="2029-01-15T00:00:00"/>
  </r>
  <r>
    <s v="Ivan"/>
    <s v="REAIS"/>
    <s v="BB INVESTE AGRO"/>
    <x v="1"/>
    <x v="1"/>
    <x v="3"/>
    <n v="4009345"/>
    <s v="Anual"/>
    <d v="2026-02-13T00:00:00"/>
    <n v="0.11600000000000001"/>
    <n v="829649.5994215"/>
    <n v="604062.47"/>
    <d v="2022-01-25T00:00:00"/>
    <d v="2029-01-15T00:00:00"/>
    <x v="6"/>
    <d v="2029-01-15T00:00:00"/>
  </r>
  <r>
    <s v="Ivan"/>
    <s v="REAIS"/>
    <s v="BB INVESTE AGRO"/>
    <x v="1"/>
    <x v="1"/>
    <x v="0"/>
    <n v="4009379"/>
    <s v="Anual"/>
    <d v="2026-02-13T00:00:00"/>
    <n v="0.13450000000000001"/>
    <n v="369167.20960016671"/>
    <n v="360344.28"/>
    <d v="2022-04-27T00:00:00"/>
    <d v="2026-04-15T00:00:00"/>
    <x v="0"/>
    <d v="2029-04-15T00:00:00"/>
  </r>
  <r>
    <s v="Ivan"/>
    <s v="REAIS"/>
    <s v="BB INVESTE AGRO"/>
    <x v="1"/>
    <x v="1"/>
    <x v="1"/>
    <n v="4009379"/>
    <s v="Anual"/>
    <d v="2026-02-13T00:00:00"/>
    <n v="0.13450000000000001"/>
    <n v="421960.14901100006"/>
    <n v="360344.28"/>
    <d v="2022-04-27T00:00:00"/>
    <d v="2027-04-15T00:00:00"/>
    <x v="0"/>
    <d v="2029-04-15T00:00:00"/>
  </r>
  <r>
    <s v="Ivan"/>
    <s v="REAIS"/>
    <s v="BB INVESTE AGRO"/>
    <x v="1"/>
    <x v="1"/>
    <x v="2"/>
    <n v="4009379"/>
    <s v="Anual"/>
    <d v="2026-02-13T00:00:00"/>
    <n v="0.13450000000000001"/>
    <n v="474897.72661200003"/>
    <n v="360344.28"/>
    <d v="2022-04-27T00:00:00"/>
    <d v="2028-04-15T00:00:00"/>
    <x v="0"/>
    <d v="2029-04-15T00:00:00"/>
  </r>
  <r>
    <s v="Ivan"/>
    <s v="REAIS"/>
    <s v="BB INVESTE AGRO"/>
    <x v="1"/>
    <x v="1"/>
    <x v="3"/>
    <n v="4009379"/>
    <s v="Anual"/>
    <d v="2026-02-13T00:00:00"/>
    <n v="0.13450000000000001"/>
    <n v="527690.66602283344"/>
    <n v="360344.28"/>
    <d v="2022-04-27T00:00:00"/>
    <d v="2029-04-15T00:00:00"/>
    <x v="0"/>
    <d v="2029-04-15T00:00:00"/>
  </r>
  <r>
    <s v="Ivan"/>
    <s v="REAIS"/>
    <s v="Jhon deer 2026"/>
    <x v="2"/>
    <x v="1"/>
    <x v="0"/>
    <n v="4855748"/>
    <s v="Anual"/>
    <d v="2026-02-13T00:00:00"/>
    <n v="0.115"/>
    <n v="515966.60155547492"/>
    <n v="500162.84499487304"/>
    <d v="2025-03-20T00:00:00"/>
    <d v="2026-05-15T00:00:00"/>
    <x v="2"/>
    <d v="2031-05-15T00:00:00"/>
  </r>
  <r>
    <s v="Ivan"/>
    <s v="REAIS"/>
    <s v="Jhon deer 2026"/>
    <x v="2"/>
    <x v="1"/>
    <x v="1"/>
    <n v="4855748"/>
    <s v="Anual"/>
    <d v="2026-02-13T00:00:00"/>
    <n v="0.115"/>
    <n v="474404.89613240829"/>
    <n v="409558.18371143163"/>
    <d v="2025-03-20T00:00:00"/>
    <d v="2027-05-15T00:00:00"/>
    <x v="2"/>
    <d v="2031-05-15T00:00:00"/>
  </r>
  <r>
    <s v="Ivan"/>
    <s v="REAIS"/>
    <s v="Jhon deer 2026"/>
    <x v="2"/>
    <x v="1"/>
    <x v="2"/>
    <n v="4855748"/>
    <s v="Anual"/>
    <d v="2026-02-13T00:00:00"/>
    <n v="0.115"/>
    <n v="443718.53197197861"/>
    <n v="345194.31984854088"/>
    <d v="2025-03-20T00:00:00"/>
    <d v="2028-05-15T00:00:00"/>
    <x v="2"/>
    <d v="2031-05-15T00:00:00"/>
  </r>
  <r>
    <s v="Ivan"/>
    <s v="REAIS"/>
    <s v="Jhon deer 2026"/>
    <x v="2"/>
    <x v="1"/>
    <x v="3"/>
    <n v="4855748"/>
    <s v="Anual"/>
    <d v="2026-02-13T00:00:00"/>
    <n v="0.115"/>
    <n v="411109.79215531668"/>
    <n v="291122.74438340595"/>
    <d v="2025-03-20T00:00:00"/>
    <d v="2029-05-15T00:00:00"/>
    <x v="2"/>
    <d v="2031-05-15T00:00:00"/>
  </r>
  <r>
    <s v="Ivan"/>
    <s v="REAIS"/>
    <s v="Jhon deer 2026"/>
    <x v="2"/>
    <x v="1"/>
    <x v="4"/>
    <n v="4855748"/>
    <s v="Anual"/>
    <d v="2026-02-13T00:00:00"/>
    <n v="0.115"/>
    <n v="378057.56008739467"/>
    <n v="245669.17261996763"/>
    <d v="2025-03-20T00:00:00"/>
    <d v="2030-05-15T00:00:00"/>
    <x v="2"/>
    <d v="2031-05-15T00:00:00"/>
  </r>
  <r>
    <s v="Ivan"/>
    <s v="REAIS"/>
    <s v="Jhon deer 2026"/>
    <x v="2"/>
    <x v="1"/>
    <x v="5"/>
    <n v="4855748"/>
    <s v="Anual"/>
    <d v="2026-02-13T00:00:00"/>
    <n v="0.115"/>
    <n v="344340.18548458838"/>
    <n v="206733.31961551271"/>
    <d v="2025-03-20T00:00:00"/>
    <d v="2031-05-15T00:00:00"/>
    <x v="2"/>
    <d v="2031-05-15T00:00:00"/>
  </r>
  <r>
    <s v="Ivan"/>
    <s v="DOLAR"/>
    <s v="Bradesco"/>
    <x v="3"/>
    <x v="1"/>
    <x v="0"/>
    <n v="6123599"/>
    <s v="Anual"/>
    <d v="2026-02-13T00:00:00"/>
    <n v="8.0500000000000002E-2"/>
    <n v="2714730.2091637016"/>
    <n v="2520816.407051282"/>
    <d v="2023-09-15T00:00:00"/>
    <d v="2026-12-16T00:00:00"/>
    <x v="9"/>
    <d v="2030-10-15T00:00:00"/>
  </r>
  <r>
    <s v="Ivan"/>
    <s v="DOLAR"/>
    <s v="Bradesco"/>
    <x v="3"/>
    <x v="1"/>
    <x v="0"/>
    <n v="6123599"/>
    <s v="Anual"/>
    <d v="2026-02-13T00:00:00"/>
    <n v="8.0500000000000002E-2"/>
    <n v="2776400.5028376956"/>
    <n v="2615941.5544871795"/>
    <d v="2023-09-15T00:00:00"/>
    <d v="2026-10-15T00:00:00"/>
    <x v="1"/>
    <d v="2030-10-15T00:00:00"/>
  </r>
  <r>
    <s v="Ivan"/>
    <s v="DOLAR"/>
    <s v="Bradesco"/>
    <x v="3"/>
    <x v="1"/>
    <x v="1"/>
    <n v="6123599"/>
    <s v="Anual"/>
    <d v="2026-02-13T00:00:00"/>
    <n v="8.0500000000000002E-2"/>
    <n v="3016431.3067226894"/>
    <n v="2615941.5544871795"/>
    <d v="2023-09-15T00:00:00"/>
    <d v="2027-10-15T00:00:00"/>
    <x v="1"/>
    <d v="2030-10-15T00:00:00"/>
  </r>
  <r>
    <s v="Ivan"/>
    <s v="DOLAR"/>
    <s v="Bradesco"/>
    <x v="3"/>
    <x v="1"/>
    <x v="2"/>
    <n v="6123599"/>
    <s v="Anual"/>
    <d v="2026-02-13T00:00:00"/>
    <n v="8.0500000000000002E-2"/>
    <n v="3257119.7292484641"/>
    <n v="2615941.5544871795"/>
    <d v="2023-09-15T00:00:00"/>
    <d v="2028-10-15T00:00:00"/>
    <x v="1"/>
    <d v="2030-10-15T00:00:00"/>
  </r>
  <r>
    <s v="Ivan"/>
    <s v="DOLAR"/>
    <s v="Bradesco"/>
    <x v="3"/>
    <x v="1"/>
    <x v="3"/>
    <n v="6123599"/>
    <s v="Anual"/>
    <d v="2026-02-13T00:00:00"/>
    <n v="8.0500000000000002E-2"/>
    <n v="3497150.5331334579"/>
    <n v="2615941.5544871795"/>
    <d v="2023-09-15T00:00:00"/>
    <d v="2029-10-15T00:00:00"/>
    <x v="1"/>
    <d v="2030-10-15T00:00:00"/>
  </r>
  <r>
    <s v="Ivan"/>
    <s v="DOLAR"/>
    <s v="Bradesco"/>
    <x v="3"/>
    <x v="1"/>
    <x v="4"/>
    <n v="6123599"/>
    <s v="Anual"/>
    <d v="2026-02-13T00:00:00"/>
    <n v="8.0500000000000002E-2"/>
    <n v="3737181.3370184517"/>
    <n v="2615941.5544871795"/>
    <d v="2023-09-15T00:00:00"/>
    <d v="2030-10-15T00:00:00"/>
    <x v="1"/>
    <d v="2030-10-15T00:00:00"/>
  </r>
  <r>
    <s v="Ivan"/>
    <s v="DOLAR"/>
    <s v="Bradesco"/>
    <x v="3"/>
    <x v="1"/>
    <x v="0"/>
    <n v="6125411"/>
    <s v="Anual"/>
    <d v="2026-02-13T00:00:00"/>
    <n v="8.0500000000000002E-2"/>
    <n v="1586728.1233788459"/>
    <n v="1473387.769230769"/>
    <d v="2023-09-15T00:00:00"/>
    <d v="2026-12-16T00:00:00"/>
    <x v="9"/>
    <d v="2030-10-15T00:00:00"/>
  </r>
  <r>
    <s v="Ivan"/>
    <s v="DOLAR"/>
    <s v="Bradesco"/>
    <x v="3"/>
    <x v="1"/>
    <x v="0"/>
    <n v="6125411"/>
    <s v="Anual"/>
    <d v="2026-02-13T00:00:00"/>
    <n v="8.0500000000000002E-2"/>
    <n v="1622773.6902713676"/>
    <n v="1528987.3076923077"/>
    <d v="2023-09-15T00:00:00"/>
    <d v="2026-10-15T00:00:00"/>
    <x v="1"/>
    <d v="2030-10-15T00:00:00"/>
  </r>
  <r>
    <s v="Ivan"/>
    <s v="DOLAR"/>
    <s v="Bradesco"/>
    <x v="3"/>
    <x v="1"/>
    <x v="1"/>
    <n v="6125411"/>
    <s v="Anual"/>
    <d v="2026-02-13T00:00:00"/>
    <n v="8.0500000000000002E-2"/>
    <n v="1763068.8937195514"/>
    <n v="1528987.3076923077"/>
    <d v="2023-09-15T00:00:00"/>
    <d v="2027-10-15T00:00:00"/>
    <x v="1"/>
    <d v="2030-10-15T00:00:00"/>
  </r>
  <r>
    <s v="Ivan"/>
    <s v="DOLAR"/>
    <s v="Bradesco"/>
    <x v="3"/>
    <x v="1"/>
    <x v="2"/>
    <n v="6125411"/>
    <s v="Anual"/>
    <d v="2026-02-13T00:00:00"/>
    <n v="8.0500000000000002E-2"/>
    <n v="1903748.4675881411"/>
    <n v="1528987.3076923077"/>
    <d v="2023-09-15T00:00:00"/>
    <d v="2028-10-15T00:00:00"/>
    <x v="1"/>
    <d v="2030-10-15T00:00:00"/>
  </r>
  <r>
    <s v="Ivan"/>
    <s v="DOLAR"/>
    <s v="Bradesco"/>
    <x v="3"/>
    <x v="1"/>
    <x v="3"/>
    <n v="6125411"/>
    <s v="Anual"/>
    <d v="2026-02-13T00:00:00"/>
    <n v="8.0500000000000002E-2"/>
    <n v="2044043.6710363249"/>
    <n v="1528987.3076923077"/>
    <d v="2023-09-15T00:00:00"/>
    <d v="2029-10-15T00:00:00"/>
    <x v="1"/>
    <d v="2030-10-15T00:00:00"/>
  </r>
  <r>
    <s v="Ivan"/>
    <s v="DOLAR"/>
    <s v="Bradesco"/>
    <x v="3"/>
    <x v="1"/>
    <x v="4"/>
    <n v="6125411"/>
    <s v="Anual"/>
    <d v="2026-02-13T00:00:00"/>
    <n v="8.0500000000000002E-2"/>
    <n v="2184338.8744845083"/>
    <n v="1528987.3076923077"/>
    <d v="2023-09-15T00:00:00"/>
    <d v="2030-10-15T00:00:00"/>
    <x v="1"/>
    <d v="2030-10-15T00:00:00"/>
  </r>
  <r>
    <s v="Ivan"/>
    <s v="REAIS"/>
    <s v="Aditivo"/>
    <x v="1"/>
    <x v="1"/>
    <x v="0"/>
    <n v="130808134"/>
    <s v="Anual"/>
    <d v="2026-02-13T00:00:00"/>
    <n v="0.13800000000000001"/>
    <n v="362547.85547875002"/>
    <n v="339517.26750000002"/>
    <d v="2025-08-15T00:00:00"/>
    <d v="2026-07-28T00:00:00"/>
    <x v="3"/>
    <d v="2029-07-28T00:00:00"/>
  </r>
  <r>
    <s v="Ivan"/>
    <s v="REAIS"/>
    <s v="Aditivo"/>
    <x v="1"/>
    <x v="1"/>
    <x v="1"/>
    <n v="130808134"/>
    <s v="Anual"/>
    <d v="2026-02-13T00:00:00"/>
    <n v="0.13800000000000001"/>
    <n v="413494.30767416669"/>
    <n v="339517.26750000002"/>
    <d v="2025-08-15T00:00:00"/>
    <d v="2027-07-28T00:00:00"/>
    <x v="3"/>
    <d v="2029-07-28T00:00:00"/>
  </r>
  <r>
    <s v="Ivan"/>
    <s v="REAIS"/>
    <s v="Aditivo"/>
    <x v="1"/>
    <x v="1"/>
    <x v="2"/>
    <n v="130808134"/>
    <s v="Anual"/>
    <d v="2026-02-13T00:00:00"/>
    <n v="0.13800000000000001"/>
    <n v="464580.33919066668"/>
    <n v="339517.26750000002"/>
    <d v="2025-08-15T00:00:00"/>
    <d v="2028-07-28T00:00:00"/>
    <x v="3"/>
    <d v="2029-07-28T00:00:00"/>
  </r>
  <r>
    <s v="Ivan"/>
    <s v="REAIS"/>
    <s v="Aditivo"/>
    <x v="1"/>
    <x v="1"/>
    <x v="3"/>
    <n v="130808134"/>
    <s v="Anual"/>
    <d v="2026-02-13T00:00:00"/>
    <n v="0.13800000000000001"/>
    <n v="515526.79138608335"/>
    <n v="339517.26750000002"/>
    <d v="2025-08-15T00:00:00"/>
    <d v="2029-07-28T00:00:00"/>
    <x v="3"/>
    <d v="2029-07-28T00:00:00"/>
  </r>
  <r>
    <s v="Ivan"/>
    <s v="REAIS"/>
    <s v="BB Custeio"/>
    <x v="1"/>
    <x v="0"/>
    <x v="0"/>
    <n v="130808809"/>
    <s v="Única"/>
    <d v="2026-02-13T00:00:00"/>
    <n v="0.17349999999999999"/>
    <n v="3016228.332615972"/>
    <n v="2906593.25"/>
    <d v="2025-03-19T00:00:00"/>
    <d v="2026-04-28T00:00:00"/>
    <x v="0"/>
    <d v="2026-04-28T00:00:00"/>
  </r>
  <r>
    <s v="Ivan"/>
    <s v="REAIS"/>
    <s v="Aditivo"/>
    <x v="1"/>
    <x v="1"/>
    <x v="0"/>
    <n v="130808490"/>
    <s v="Anual"/>
    <d v="2026-02-13T00:00:00"/>
    <n v="0.13800000000000001"/>
    <n v="675324.21819666668"/>
    <n v="632424.74"/>
    <d v="2025-08-15T00:00:00"/>
    <d v="2026-07-28T00:00:00"/>
    <x v="3"/>
    <d v="2026-07-28T00:00:00"/>
  </r>
  <r>
    <s v="Ivan"/>
    <s v="REAIS"/>
    <s v="Aditivo"/>
    <x v="1"/>
    <x v="1"/>
    <x v="1"/>
    <n v="130808490"/>
    <s v="Anual"/>
    <d v="2026-02-13T00:00:00"/>
    <n v="0.13800000000000001"/>
    <n v="770223.06390444445"/>
    <n v="632424.74"/>
    <d v="2025-08-15T00:00:00"/>
    <d v="2027-07-28T00:00:00"/>
    <x v="3"/>
    <d v="2027-07-28T00:00:00"/>
  </r>
  <r>
    <s v="Ivan"/>
    <s v="REAIS"/>
    <s v="Aditivo"/>
    <x v="1"/>
    <x v="1"/>
    <x v="2"/>
    <n v="130808490"/>
    <s v="Anual"/>
    <d v="2026-02-13T00:00:00"/>
    <n v="0.13800000000000001"/>
    <n v="865381.90644977777"/>
    <n v="632424.74"/>
    <d v="2025-08-15T00:00:00"/>
    <d v="2028-07-28T00:00:00"/>
    <x v="3"/>
    <d v="2028-07-28T00:00:00"/>
  </r>
  <r>
    <s v="Ivan"/>
    <s v="REAIS"/>
    <s v="Aditivo"/>
    <x v="1"/>
    <x v="1"/>
    <x v="3"/>
    <n v="130808490"/>
    <s v="Anual"/>
    <d v="2026-02-13T00:00:00"/>
    <n v="0.13800000000000001"/>
    <n v="960280.75215755566"/>
    <n v="632424.74"/>
    <d v="2025-08-15T00:00:00"/>
    <d v="2029-07-28T00:00:00"/>
    <x v="3"/>
    <d v="2029-07-28T00:00:00"/>
  </r>
  <r>
    <s v="Ivan"/>
    <s v="REAIS"/>
    <s v="Aditivo"/>
    <x v="1"/>
    <x v="1"/>
    <x v="0"/>
    <n v="130808651"/>
    <s v="Anual"/>
    <d v="2026-02-13T00:00:00"/>
    <n v="0.12"/>
    <n v="302188.00119791669"/>
    <n v="285195.125"/>
    <d v="2025-08-15T00:00:00"/>
    <d v="2026-07-28T00:00:00"/>
    <x v="3"/>
    <d v="2026-07-28T00:00:00"/>
  </r>
  <r>
    <s v="Ivan"/>
    <s v="REAIS"/>
    <s v="Aditivo"/>
    <x v="1"/>
    <x v="1"/>
    <x v="1"/>
    <n v="130808651"/>
    <s v="Anual"/>
    <d v="2026-02-13T00:00:00"/>
    <n v="0.12"/>
    <n v="339778.30309027777"/>
    <n v="285195.125"/>
    <d v="2025-08-15T00:00:00"/>
    <d v="2027-07-28T00:00:00"/>
    <x v="3"/>
    <d v="2027-07-28T00:00:00"/>
  </r>
  <r>
    <s v="Ivan"/>
    <s v="REAIS"/>
    <s v="Aditivo"/>
    <x v="1"/>
    <x v="1"/>
    <x v="0"/>
    <n v="130808656"/>
    <s v="Anual"/>
    <d v="2026-02-13T00:00:00"/>
    <n v="0.12"/>
    <n v="133946.44034270835"/>
    <n v="126414.25750000001"/>
    <d v="2025-08-15T00:00:00"/>
    <d v="2026-07-28T00:00:00"/>
    <x v="3"/>
    <d v="2026-07-28T00:00:00"/>
  </r>
  <r>
    <s v="Ivan"/>
    <s v="REAIS"/>
    <s v="Aditivo"/>
    <x v="1"/>
    <x v="1"/>
    <x v="1"/>
    <n v="130808656"/>
    <s v="Anual"/>
    <d v="2026-02-13T00:00:00"/>
    <n v="0.12"/>
    <n v="150608.5417826389"/>
    <n v="126414.25750000001"/>
    <d v="2025-08-15T00:00:00"/>
    <d v="2027-07-28T00:00:00"/>
    <x v="3"/>
    <d v="2027-07-28T00:00:00"/>
  </r>
  <r>
    <s v="Ivan"/>
    <s v="REAIS"/>
    <s v="Aditivo"/>
    <x v="1"/>
    <x v="1"/>
    <x v="2"/>
    <n v="130808656"/>
    <s v="Anual"/>
    <d v="2026-02-13T00:00:00"/>
    <n v="0.12"/>
    <n v="167316.29281555556"/>
    <n v="126414.25750000001"/>
    <d v="2025-08-15T00:00:00"/>
    <d v="2028-07-28T00:00:00"/>
    <x v="3"/>
    <d v="2028-07-28T00:00:00"/>
  </r>
  <r>
    <s v="Ivan"/>
    <s v="REAIS"/>
    <s v="Aditivo"/>
    <x v="1"/>
    <x v="1"/>
    <x v="3"/>
    <n v="130808656"/>
    <s v="Anual"/>
    <d v="2026-02-13T00:00:00"/>
    <n v="0.12"/>
    <n v="183978.39425548614"/>
    <n v="126414.25750000001"/>
    <d v="2025-08-15T00:00:00"/>
    <d v="2029-07-28T00:00:00"/>
    <x v="3"/>
    <d v="2029-07-28T00:00:00"/>
  </r>
  <r>
    <s v="Ivan"/>
    <s v="REAIS"/>
    <s v="Aditivo"/>
    <x v="1"/>
    <x v="1"/>
    <x v="0"/>
    <n v="130808302"/>
    <s v="Anual"/>
    <d v="2026-02-13T00:00:00"/>
    <n v="0.12"/>
    <n v="1352335.3542066666"/>
    <n v="1303385.97"/>
    <d v="2025-08-15T00:00:00"/>
    <d v="2026-05-28T00:00:00"/>
    <x v="2"/>
    <d v="2026-05-28T00:00:00"/>
  </r>
  <r>
    <s v="Ivan"/>
    <s v="REAIS"/>
    <s v="Aditivo"/>
    <x v="1"/>
    <x v="1"/>
    <x v="0"/>
    <n v="4009707"/>
    <s v="Anual"/>
    <d v="2026-02-13T00:00:00"/>
    <n v="0.13500000000000001"/>
    <n v="231130.56689722225"/>
    <n v="208082.53600000002"/>
    <d v="2025-10-24T00:00:00"/>
    <d v="2026-11-15T00:00:00"/>
    <x v="10"/>
    <d v="2030-11-15T00:00:00"/>
  </r>
  <r>
    <s v="Ivan"/>
    <s v="REAIS"/>
    <s v="Aditivo"/>
    <x v="1"/>
    <x v="1"/>
    <x v="1"/>
    <n v="4009707"/>
    <s v="Anual"/>
    <d v="2026-02-13T00:00:00"/>
    <n v="0.13500000000000001"/>
    <n v="261721.58972444449"/>
    <n v="208082.53600000002"/>
    <d v="2025-10-24T00:00:00"/>
    <d v="2027-11-15T00:00:00"/>
    <x v="10"/>
    <d v="2030-11-15T00:00:00"/>
  </r>
  <r>
    <s v="Ivan"/>
    <s v="REAIS"/>
    <s v="Aditivo"/>
    <x v="1"/>
    <x v="1"/>
    <x v="2"/>
    <n v="4009707"/>
    <s v="Anual"/>
    <d v="2026-02-13T00:00:00"/>
    <n v="0.13500000000000001"/>
    <n v="292396.42357311118"/>
    <n v="208082.53600000002"/>
    <d v="2025-10-24T00:00:00"/>
    <d v="2028-11-15T00:00:00"/>
    <x v="10"/>
    <d v="2030-11-15T00:00:00"/>
  </r>
  <r>
    <s v="Ivan"/>
    <s v="REAIS"/>
    <s v="Aditivo"/>
    <x v="1"/>
    <x v="1"/>
    <x v="3"/>
    <n v="4009707"/>
    <s v="Anual"/>
    <d v="2026-02-13T00:00:00"/>
    <n v="0.13500000000000001"/>
    <n v="322987.44640033337"/>
    <n v="208082.53600000002"/>
    <d v="2025-10-24T00:00:00"/>
    <d v="2029-11-15T00:00:00"/>
    <x v="10"/>
    <d v="2030-11-15T00:00:00"/>
  </r>
  <r>
    <s v="Ivan"/>
    <s v="REAIS"/>
    <s v="Aditivo"/>
    <x v="1"/>
    <x v="1"/>
    <x v="4"/>
    <n v="4009707"/>
    <s v="Anual"/>
    <d v="2026-02-13T00:00:00"/>
    <n v="0.13500000000000001"/>
    <n v="353578.46922755567"/>
    <n v="208082.53600000002"/>
    <d v="2025-10-24T00:00:00"/>
    <d v="2030-11-15T00:00:00"/>
    <x v="10"/>
    <d v="2030-11-15T00:00:00"/>
  </r>
  <r>
    <s v="Ivan"/>
    <s v="REAIS"/>
    <s v="BB Custeio"/>
    <x v="1"/>
    <x v="0"/>
    <x v="0"/>
    <n v="130808977"/>
    <s v="Única"/>
    <d v="2026-02-13T00:00:00"/>
    <n v="0.17949999999999999"/>
    <n v="3695276.9756236388"/>
    <n v="3556732.37"/>
    <d v="2025-05-29T00:00:00"/>
    <d v="2026-04-28T00:00:00"/>
    <x v="0"/>
    <d v="2026-04-28T00:00:00"/>
  </r>
  <r>
    <s v="Ivan"/>
    <s v="REAIS"/>
    <s v="BB Custeio"/>
    <x v="1"/>
    <x v="0"/>
    <x v="0"/>
    <n v="130809139"/>
    <s v="Única"/>
    <d v="2026-02-13T00:00:00"/>
    <n v="0.155"/>
    <n v="3369617.2984133335"/>
    <n v="3216306.68"/>
    <d v="2025-03-19T00:00:00"/>
    <d v="2026-05-28T00:00:00"/>
    <x v="2"/>
    <d v="2026-05-28T00:00:00"/>
  </r>
  <r>
    <s v="Ivan"/>
    <s v="REAIS"/>
    <s v="BB Custeio"/>
    <x v="1"/>
    <x v="0"/>
    <x v="0"/>
    <n v="130809145"/>
    <s v="Única"/>
    <d v="2026-02-13T00:00:00"/>
    <n v="0.16"/>
    <n v="1943267.7162341666"/>
    <n v="1755127.77"/>
    <d v="2025-03-19T00:00:00"/>
    <d v="2026-09-28T00:00:00"/>
    <x v="11"/>
    <d v="2026-09-28T00:00:00"/>
  </r>
  <r>
    <s v="Ivan"/>
    <s v="REAIS"/>
    <s v="Bradesco Avião Leasing"/>
    <x v="3"/>
    <x v="1"/>
    <x v="0"/>
    <s v="001383088-2"/>
    <s v="Semestral"/>
    <d v="2026-02-13T00:00:00"/>
    <n v="0.19"/>
    <n v="846466.59600000014"/>
    <n v="846466.59600000014"/>
    <d v="2024-08-13T00:00:00"/>
    <d v="2026-02-13T00:00:00"/>
    <x v="7"/>
    <d v="2030-08-13T00:00:00"/>
  </r>
  <r>
    <s v="Ivan"/>
    <s v="REAIS"/>
    <s v="Bradesco Avião Leasing"/>
    <x v="3"/>
    <x v="1"/>
    <x v="0"/>
    <s v="001383088-2"/>
    <s v="Semestral"/>
    <d v="2026-02-13T00:00:00"/>
    <n v="0.19"/>
    <n v="931583.51482000016"/>
    <n v="846466.59600000014"/>
    <d v="2024-08-13T00:00:00"/>
    <d v="2026-08-13T00:00:00"/>
    <x v="5"/>
    <d v="2030-08-13T00:00:00"/>
  </r>
  <r>
    <s v="Ivan"/>
    <s v="REAIS"/>
    <s v="Bradesco Avião Leasing"/>
    <x v="3"/>
    <x v="1"/>
    <x v="1"/>
    <s v="001383088-2"/>
    <s v="Semestral"/>
    <d v="2026-02-13T00:00:00"/>
    <n v="0.19"/>
    <n v="1018111.2113000002"/>
    <n v="846466.59600000014"/>
    <d v="2024-08-13T00:00:00"/>
    <d v="2027-02-13T00:00:00"/>
    <x v="7"/>
    <d v="2030-08-13T00:00:00"/>
  </r>
  <r>
    <s v="Ivan"/>
    <s v="REAIS"/>
    <s v="Bradesco Avião Leasing"/>
    <x v="3"/>
    <x v="1"/>
    <x v="1"/>
    <s v="001383088-2"/>
    <s v="Semestral"/>
    <d v="2026-02-13T00:00:00"/>
    <n v="0.19"/>
    <n v="1103228.1301200001"/>
    <n v="846466.59600000014"/>
    <d v="2024-08-13T00:00:00"/>
    <d v="2027-08-13T00:00:00"/>
    <x v="5"/>
    <d v="2030-08-13T00:00:00"/>
  </r>
  <r>
    <s v="Ivan"/>
    <s v="REAIS"/>
    <s v="Bradesco Avião Leasing"/>
    <x v="3"/>
    <x v="1"/>
    <x v="2"/>
    <s v="001383088-2"/>
    <s v="Semestral"/>
    <d v="2026-02-13T00:00:00"/>
    <n v="0.19"/>
    <n v="1189755.8266000003"/>
    <n v="846466.59600000014"/>
    <d v="2024-08-13T00:00:00"/>
    <d v="2028-02-13T00:00:00"/>
    <x v="7"/>
    <d v="2030-08-13T00:00:00"/>
  </r>
  <r>
    <s v="Ivan"/>
    <s v="REAIS"/>
    <s v="Bradesco Avião Leasing"/>
    <x v="3"/>
    <x v="1"/>
    <x v="2"/>
    <s v="001383088-2"/>
    <s v="Semestral"/>
    <d v="2026-02-13T00:00:00"/>
    <n v="0.19"/>
    <n v="1275343.0046400002"/>
    <n v="846466.59600000014"/>
    <d v="2024-08-13T00:00:00"/>
    <d v="2028-08-13T00:00:00"/>
    <x v="5"/>
    <d v="2030-08-13T00:00:00"/>
  </r>
  <r>
    <s v="Ivan"/>
    <s v="REAIS"/>
    <s v="Bradesco Avião Leasing"/>
    <x v="3"/>
    <x v="1"/>
    <x v="3"/>
    <s v="001383088-2"/>
    <s v="Semestral"/>
    <d v="2026-02-13T00:00:00"/>
    <n v="0.19"/>
    <n v="1361870.7011200003"/>
    <n v="846466.59600000014"/>
    <d v="2024-08-13T00:00:00"/>
    <d v="2029-02-13T00:00:00"/>
    <x v="7"/>
    <d v="2030-08-13T00:00:00"/>
  </r>
  <r>
    <s v="Ivan"/>
    <s v="REAIS"/>
    <s v="Bradesco Avião Leasing"/>
    <x v="3"/>
    <x v="1"/>
    <x v="3"/>
    <s v="001383088-2"/>
    <s v="Semestral"/>
    <d v="2026-02-13T00:00:00"/>
    <n v="0.19"/>
    <n v="1446987.6199400004"/>
    <n v="846466.59600000014"/>
    <d v="2024-08-13T00:00:00"/>
    <d v="2029-08-13T00:00:00"/>
    <x v="5"/>
    <d v="2030-08-13T00:00:00"/>
  </r>
  <r>
    <s v="Ivan"/>
    <s v="REAIS"/>
    <s v="Bradesco Avião Leasing"/>
    <x v="3"/>
    <x v="1"/>
    <x v="4"/>
    <s v="001383088-2"/>
    <s v="Semestral"/>
    <d v="2026-02-13T00:00:00"/>
    <n v="0.19"/>
    <n v="1533515.3164200005"/>
    <n v="846466.59600000014"/>
    <d v="2024-08-13T00:00:00"/>
    <d v="2030-02-13T00:00:00"/>
    <x v="7"/>
    <d v="2030-08-13T00:00:00"/>
  </r>
  <r>
    <s v="Ivan"/>
    <s v="REAIS"/>
    <s v="Bradesco Avião Leasing"/>
    <x v="3"/>
    <x v="1"/>
    <x v="4"/>
    <s v="001383088-2"/>
    <s v="Semestral"/>
    <d v="2026-02-13T00:00:00"/>
    <n v="0.19"/>
    <n v="1618632.2352400003"/>
    <n v="846466.59600000014"/>
    <d v="2024-08-13T00:00:00"/>
    <d v="2030-08-13T00:00:00"/>
    <x v="5"/>
    <d v="2030-08-13T00:00:00"/>
  </r>
  <r>
    <s v="Ivan"/>
    <s v="REAIS"/>
    <s v=" Investimento"/>
    <x v="4"/>
    <x v="1"/>
    <x v="0"/>
    <s v="183-23/0089-4"/>
    <s v="Anual"/>
    <d v="2026-02-13T00:00:00"/>
    <n v="6.8699999999999997E-2"/>
    <n v="1116341.4994254999"/>
    <n v="1028641.26"/>
    <d v="2023-12-22T00:00:00"/>
    <d v="2027-03-10T00:00:00"/>
    <x v="8"/>
    <d v="2029-01-10T00:00:00"/>
  </r>
  <r>
    <s v="Ivan"/>
    <s v="REAIS"/>
    <s v=" Investimento"/>
    <x v="4"/>
    <x v="1"/>
    <x v="1"/>
    <s v="183-23/0089-4"/>
    <s v="Anual"/>
    <d v="2026-02-13T00:00:00"/>
    <n v="6.8699999999999997E-2"/>
    <n v="399388.4477065946"/>
    <n v="342743.26783199998"/>
    <d v="2023-12-22T00:00:00"/>
    <d v="2028-03-10T00:00:00"/>
    <x v="8"/>
    <d v="2029-01-10T00:00:00"/>
  </r>
  <r>
    <s v="Ivan"/>
    <s v="REAIS"/>
    <s v=" Investimento"/>
    <x v="4"/>
    <x v="1"/>
    <x v="2"/>
    <s v="183-23/0089-4"/>
    <s v="Anual"/>
    <d v="2026-02-13T00:00:00"/>
    <n v="6.8699999999999997E-2"/>
    <n v="853473.96063601214"/>
    <n v="685486.53566399997"/>
    <d v="2023-12-22T00:00:00"/>
    <d v="2029-03-10T00:00:00"/>
    <x v="8"/>
    <d v="2029-01-10T00:00:00"/>
  </r>
  <r>
    <s v="Ivan"/>
    <s v="REAIS"/>
    <s v=" Investimento"/>
    <x v="4"/>
    <x v="1"/>
    <x v="3"/>
    <s v="183-23/0089-4"/>
    <s v="Anual"/>
    <d v="2026-02-13T00:00:00"/>
    <n v="6.8699999999999997E-2"/>
    <n v="2725603.3189040665"/>
    <n v="2057282.52"/>
    <d v="2023-12-22T00:00:00"/>
    <d v="2030-03-10T00:00:00"/>
    <x v="8"/>
    <d v="2029-01-10T00:00:00"/>
  </r>
  <r>
    <s v="Ivan"/>
    <s v="REAIS"/>
    <s v=" Investimento"/>
    <x v="4"/>
    <x v="1"/>
    <x v="0"/>
    <s v="183-23/0104-1"/>
    <s v="Anual"/>
    <d v="2026-02-13T00:00:00"/>
    <n v="0.105"/>
    <n v="6100616.7476583337"/>
    <n v="5424779.6200000001"/>
    <d v="2023-12-22T00:00:00"/>
    <d v="2027-03-10T00:00:00"/>
    <x v="8"/>
    <d v="2026-01-10T00:00:00"/>
  </r>
  <r>
    <s v="Ivan"/>
    <s v="REAIS"/>
    <s v=" Investimento"/>
    <x v="4"/>
    <x v="0"/>
    <x v="0"/>
    <s v="183-25/5087-4"/>
    <s v="Anual"/>
    <d v="2026-02-13T00:00:00"/>
    <n v="6.0400000000000002E-2"/>
    <n v="10066397.409348266"/>
    <n v="9899903.0399999991"/>
    <d v="2025-07-10T00:00:00"/>
    <d v="2026-05-10T00:00:00"/>
    <x v="2"/>
    <d v="2026-05-10T00:00:00"/>
  </r>
  <r>
    <s v="Ivan"/>
    <s v="REAIS"/>
    <s v=" Investimento"/>
    <x v="4"/>
    <x v="0"/>
    <x v="0"/>
    <s v="183-25/5088-2"/>
    <s v="Anual"/>
    <d v="2026-02-13T00:00:00"/>
    <n v="0.18870000000000001"/>
    <n v="2276554.8489535889"/>
    <n v="2173390.06"/>
    <d v="2025-07-10T00:00:00"/>
    <d v="2026-05-10T00:00:00"/>
    <x v="2"/>
    <d v="2026-05-10T00:00:00"/>
  </r>
  <r>
    <s v="Ivan"/>
    <s v="DOLAR"/>
    <s v="Itau"/>
    <x v="5"/>
    <x v="1"/>
    <x v="0"/>
    <n v="106323050013800"/>
    <s v="Anual"/>
    <d v="2026-02-13T00:00:00"/>
    <n v="8.8900000000000007E-2"/>
    <n v="4090857.3639999991"/>
    <n v="3996983.7593193189"/>
    <d v="2023-05-18T00:00:00"/>
    <d v="2026-05-19T00:00:00"/>
    <x v="2"/>
    <d v="2028-05-19T00:00:00"/>
  </r>
  <r>
    <s v="Ivan"/>
    <s v="DOLAR"/>
    <s v="Itau"/>
    <x v="5"/>
    <x v="1"/>
    <x v="1"/>
    <n v="106323050013800"/>
    <s v="Anual"/>
    <d v="2026-02-13T00:00:00"/>
    <n v="8.8900000000000007E-2"/>
    <n v="3944031.7949999999"/>
    <n v="3541306.5451189703"/>
    <d v="2023-05-18T00:00:00"/>
    <d v="2027-05-19T00:00:00"/>
    <x v="2"/>
    <d v="2028-05-19T00:00:00"/>
  </r>
  <r>
    <s v="Ivan"/>
    <s v="DOLAR"/>
    <s v="Itau"/>
    <x v="5"/>
    <x v="1"/>
    <x v="2"/>
    <n v="106323050013800"/>
    <s v="Anual"/>
    <d v="2026-02-13T00:00:00"/>
    <n v="8.8900000000000007E-2"/>
    <n v="3709907.8799999994"/>
    <n v="3080792.8620528975"/>
    <d v="2023-05-18T00:00:00"/>
    <d v="2028-05-19T00:00:00"/>
    <x v="2"/>
    <d v="2028-05-19T00:00:00"/>
  </r>
  <r>
    <s v="Ivan"/>
    <s v="REAIS"/>
    <s v="CPR"/>
    <x v="3"/>
    <x v="0"/>
    <x v="0"/>
    <m/>
    <s v="Anual"/>
    <d v="2026-02-13T00:00:00"/>
    <n v="0.15"/>
    <n v="5975000"/>
    <n v="5764583.333333333"/>
    <d v="2025-02-11T00:00:00"/>
    <d v="2026-05-25T00:00:00"/>
    <x v="2"/>
    <d v="2026-05-25T00:00:00"/>
  </r>
  <r>
    <s v="Adriana"/>
    <s v="REAIS"/>
    <s v="MODERFROTA BB"/>
    <x v="1"/>
    <x v="1"/>
    <x v="0"/>
    <n v="4008942"/>
    <s v="Anual"/>
    <d v="2026-02-13T00:00:00"/>
    <n v="8.5000000000000006E-2"/>
    <n v="194309.907435"/>
    <n v="182555.37"/>
    <d v="2020-11-05T00:00:00"/>
    <d v="2026-10-15T00:00:00"/>
    <x v="1"/>
    <d v="2026-10-15T00:00:00"/>
  </r>
  <r>
    <s v="Adriana"/>
    <s v="REAIS"/>
    <s v="MODERFROTA BB"/>
    <x v="1"/>
    <x v="1"/>
    <x v="0"/>
    <n v="4008943"/>
    <s v="Anual"/>
    <d v="2026-02-13T00:00:00"/>
    <n v="7.4999999999999997E-2"/>
    <n v="71807.003584305552"/>
    <n v="68353.264999999999"/>
    <d v="2020-11-17T00:00:00"/>
    <d v="2026-09-15T00:00:00"/>
    <x v="11"/>
    <d v="2027-09-15T00:00:00"/>
  </r>
  <r>
    <s v="Adriana"/>
    <s v="REAIS"/>
    <s v="MODERFROTA BB"/>
    <x v="1"/>
    <x v="1"/>
    <x v="1"/>
    <n v="4008943"/>
    <s v="Anual"/>
    <d v="2026-02-13T00:00:00"/>
    <n v="7.4999999999999997E-2"/>
    <n v="77697.725936041665"/>
    <n v="68353.264999999999"/>
    <d v="2020-11-17T00:00:00"/>
    <d v="2027-09-15T00:00:00"/>
    <x v="11"/>
    <d v="2027-09-15T00:00:00"/>
  </r>
  <r>
    <s v="Adriana"/>
    <s v="REAIS"/>
    <s v="BB Invest Agro"/>
    <x v="1"/>
    <x v="1"/>
    <x v="0"/>
    <n v="4009455"/>
    <s v="Anual"/>
    <d v="2026-02-13T00:00:00"/>
    <n v="0.105"/>
    <n v="505827.97129333334"/>
    <n v="484470.88"/>
    <d v="2022-08-01T00:00:00"/>
    <d v="2026-07-01T00:00:00"/>
    <x v="3"/>
    <d v="2029-07-01T00:00:00"/>
  </r>
  <r>
    <s v="Adriana"/>
    <s v="REAIS"/>
    <s v="BB Invest Agro"/>
    <x v="1"/>
    <x v="1"/>
    <x v="1"/>
    <n v="4009455"/>
    <s v="Anual"/>
    <d v="2026-02-13T00:00:00"/>
    <n v="0.105"/>
    <n v="562315.93014888884"/>
    <n v="484470.88"/>
    <d v="2022-08-01T00:00:00"/>
    <d v="2027-07-01T00:00:00"/>
    <x v="3"/>
    <d v="2029-07-01T00:00:00"/>
  </r>
  <r>
    <s v="Adriana"/>
    <s v="REAIS"/>
    <s v="BB Invest Agro"/>
    <x v="1"/>
    <x v="1"/>
    <x v="2"/>
    <n v="4009455"/>
    <s v="Anual"/>
    <d v="2026-02-13T00:00:00"/>
    <n v="0.105"/>
    <n v="618958.65053555556"/>
    <n v="484470.88"/>
    <d v="2022-08-01T00:00:00"/>
    <d v="2028-07-01T00:00:00"/>
    <x v="3"/>
    <d v="2029-07-01T00:00:00"/>
  </r>
  <r>
    <s v="Adriana"/>
    <s v="REAIS"/>
    <s v="BB Invest Agro"/>
    <x v="1"/>
    <x v="1"/>
    <x v="3"/>
    <n v="4009455"/>
    <s v="Anual"/>
    <d v="2026-02-13T00:00:00"/>
    <n v="0.105"/>
    <n v="675446.60939111107"/>
    <n v="484470.88"/>
    <d v="2022-08-01T00:00:00"/>
    <d v="2029-07-01T00:00:00"/>
    <x v="3"/>
    <d v="2029-07-01T00:00:00"/>
  </r>
  <r>
    <s v="Adriana"/>
    <s v="REAIS"/>
    <s v="Aditivo"/>
    <x v="1"/>
    <x v="1"/>
    <x v="0"/>
    <n v="4009709"/>
    <s v="Anual"/>
    <d v="2026-02-13T00:00:00"/>
    <n v="0.11309651387355113"/>
    <n v="227468.80014599257"/>
    <n v="207917.856"/>
    <d v="2025-10-24T00:00:00"/>
    <d v="2026-11-15T00:00:00"/>
    <x v="10"/>
    <d v="2030-11-15T00:00:00"/>
  </r>
  <r>
    <s v="Adriana"/>
    <s v="REAIS"/>
    <s v="Aditivo"/>
    <x v="1"/>
    <x v="1"/>
    <x v="1"/>
    <n v="4009709"/>
    <s v="Anual"/>
    <d v="2026-02-13T00:00:00"/>
    <n v="0.11309651387355113"/>
    <n v="253418.23510340089"/>
    <n v="207917.856"/>
    <d v="2025-10-24T00:00:00"/>
    <d v="2027-11-15T00:00:00"/>
    <x v="10"/>
    <d v="2030-11-15T00:00:00"/>
  </r>
  <r>
    <s v="Adriana"/>
    <s v="REAIS"/>
    <s v="Aditivo"/>
    <x v="1"/>
    <x v="1"/>
    <x v="2"/>
    <n v="4009709"/>
    <s v="Anual"/>
    <d v="2026-02-13T00:00:00"/>
    <n v="0.11309651387355113"/>
    <n v="279438.76440315827"/>
    <n v="207917.856"/>
    <d v="2025-10-24T00:00:00"/>
    <d v="2028-11-15T00:00:00"/>
    <x v="10"/>
    <d v="2030-11-15T00:00:00"/>
  </r>
  <r>
    <s v="Adriana"/>
    <s v="REAIS"/>
    <s v="Aditivo"/>
    <x v="1"/>
    <x v="1"/>
    <x v="3"/>
    <n v="4009709"/>
    <s v="Anual"/>
    <d v="2026-02-13T00:00:00"/>
    <n v="0.11309651387355113"/>
    <n v="305388.19936056656"/>
    <n v="207917.856"/>
    <d v="2025-10-24T00:00:00"/>
    <d v="2029-11-15T00:00:00"/>
    <x v="10"/>
    <d v="2030-11-15T00:00:00"/>
  </r>
  <r>
    <s v="Adriana"/>
    <s v="REAIS"/>
    <s v="Aditivo"/>
    <x v="1"/>
    <x v="1"/>
    <x v="4"/>
    <n v="4009709"/>
    <s v="Anual"/>
    <d v="2026-02-13T00:00:00"/>
    <n v="0.11309651387355113"/>
    <n v="331337.63431797491"/>
    <n v="207917.856"/>
    <d v="2025-10-24T00:00:00"/>
    <d v="2030-11-15T00:00:00"/>
    <x v="10"/>
    <d v="2030-11-15T00:00:00"/>
  </r>
  <r>
    <s v="Adriana"/>
    <s v="REAIS"/>
    <s v="Aditivo"/>
    <x v="1"/>
    <x v="1"/>
    <x v="1"/>
    <n v="4009712"/>
    <s v="Anual"/>
    <d v="2026-02-13T00:00:00"/>
    <n v="0.11309651387355113"/>
    <n v="226829.65578690366"/>
    <n v="204332.08199999999"/>
    <d v="2025-12-03T00:00:00"/>
    <d v="2027-01-01T00:00:00"/>
    <x v="6"/>
    <d v="2031-01-01T00:00:00"/>
  </r>
  <r>
    <s v="Adriana"/>
    <s v="REAIS"/>
    <s v="Aditivo"/>
    <x v="1"/>
    <x v="1"/>
    <x v="2"/>
    <n v="4009712"/>
    <s v="Anual"/>
    <d v="2026-02-13T00:00:00"/>
    <n v="0.11309651387355113"/>
    <n v="252331.56396149943"/>
    <n v="204332.08199999999"/>
    <d v="2025-12-03T00:00:00"/>
    <d v="2028-01-01T00:00:00"/>
    <x v="6"/>
    <d v="2031-01-01T00:00:00"/>
  </r>
  <r>
    <s v="Adriana"/>
    <s v="REAIS"/>
    <s v="Aditivo"/>
    <x v="1"/>
    <x v="1"/>
    <x v="3"/>
    <n v="4009712"/>
    <s v="Anual"/>
    <d v="2026-02-13T00:00:00"/>
    <n v="0.11309651387355113"/>
    <n v="277903.34037766943"/>
    <n v="204332.08199999999"/>
    <d v="2025-12-03T00:00:00"/>
    <d v="2029-01-01T00:00:00"/>
    <x v="6"/>
    <d v="2031-01-01T00:00:00"/>
  </r>
  <r>
    <s v="Adriana"/>
    <s v="REAIS"/>
    <s v="Aditivo"/>
    <x v="1"/>
    <x v="1"/>
    <x v="4"/>
    <n v="4009712"/>
    <s v="Anual"/>
    <d v="2026-02-13T00:00:00"/>
    <n v="0.11309651387355113"/>
    <n v="303405.24855226517"/>
    <n v="204332.08199999999"/>
    <d v="2025-12-03T00:00:00"/>
    <d v="2030-01-01T00:00:00"/>
    <x v="6"/>
    <d v="2031-01-01T00:00:00"/>
  </r>
  <r>
    <s v="Adriana"/>
    <s v="REAIS"/>
    <s v="Aditivo"/>
    <x v="1"/>
    <x v="1"/>
    <x v="5"/>
    <n v="4009712"/>
    <s v="Anual"/>
    <d v="2026-02-13T00:00:00"/>
    <n v="0.11309651387355113"/>
    <n v="328907.15672686091"/>
    <n v="204332.08199999999"/>
    <d v="2025-12-03T00:00:00"/>
    <d v="2031-01-01T00:00:00"/>
    <x v="6"/>
    <d v="2031-01-01T00:00:00"/>
  </r>
  <r>
    <s v="Adriana"/>
    <s v="REAIS"/>
    <s v="Aditivo"/>
    <x v="1"/>
    <x v="1"/>
    <x v="0"/>
    <n v="130808131"/>
    <s v="Anual"/>
    <d v="2026-02-13T00:00:00"/>
    <n v="0.13700000000000001"/>
    <n v="620851.44256031257"/>
    <n v="581661.96750000003"/>
    <d v="2025-08-16T00:00:00"/>
    <d v="2026-07-28T00:00:00"/>
    <x v="3"/>
    <d v="2029-07-28T00:00:00"/>
  </r>
  <r>
    <s v="Adriana"/>
    <s v="REAIS"/>
    <s v="Aditivo"/>
    <x v="1"/>
    <x v="1"/>
    <x v="1"/>
    <n v="130808131"/>
    <s v="Anual"/>
    <d v="2026-02-13T00:00:00"/>
    <n v="0.13700000000000001"/>
    <n v="707543.31163312506"/>
    <n v="581661.96750000003"/>
    <d v="2025-08-17T00:00:00"/>
    <d v="2027-07-28T00:00:00"/>
    <x v="3"/>
    <d v="2029-07-28T00:00:00"/>
  </r>
  <r>
    <s v="Adriana"/>
    <s v="REAIS"/>
    <s v="Aditivo"/>
    <x v="1"/>
    <x v="1"/>
    <x v="2"/>
    <n v="130808131"/>
    <s v="Anual"/>
    <d v="2026-02-13T00:00:00"/>
    <n v="0.13700000000000001"/>
    <n v="794472.69267600006"/>
    <n v="581661.96750000003"/>
    <d v="2025-08-18T00:00:00"/>
    <d v="2028-07-28T00:00:00"/>
    <x v="3"/>
    <d v="2029-07-28T00:00:00"/>
  </r>
  <r>
    <s v="Adriana"/>
    <s v="REAIS"/>
    <s v="Aditivo"/>
    <x v="1"/>
    <x v="1"/>
    <x v="3"/>
    <n v="130808131"/>
    <s v="Anual"/>
    <d v="2026-02-13T00:00:00"/>
    <n v="0.13700000000000001"/>
    <n v="881164.56174881267"/>
    <n v="581661.96750000003"/>
    <d v="2025-08-19T00:00:00"/>
    <d v="2029-07-28T00:00:00"/>
    <x v="3"/>
    <d v="2029-07-28T00:00:00"/>
  </r>
  <r>
    <s v="Adriana"/>
    <s v="REAIS"/>
    <s v="Aditivo"/>
    <x v="1"/>
    <x v="1"/>
    <x v="0"/>
    <n v="130808610"/>
    <s v="Anual"/>
    <d v="2026-02-13T00:00:00"/>
    <n v="0.13250000000000001"/>
    <n v="235703.16310078127"/>
    <n v="221252.60250000001"/>
    <d v="2025-08-20T00:00:00"/>
    <d v="2026-07-28T00:00:00"/>
    <x v="3"/>
    <d v="2026-07-28T00:00:00"/>
  </r>
  <r>
    <s v="Adriana"/>
    <s v="REAIS"/>
    <s v="Aditivo"/>
    <x v="1"/>
    <x v="1"/>
    <x v="1"/>
    <n v="130808610"/>
    <s v="Anual"/>
    <d v="2026-02-13T00:00:00"/>
    <n v="0.13250000000000001"/>
    <n v="267669.55473281251"/>
    <n v="221252.60250000001"/>
    <d v="2025-08-21T00:00:00"/>
    <d v="2027-07-28T00:00:00"/>
    <x v="3"/>
    <d v="2027-07-28T00:00:00"/>
  </r>
  <r>
    <s v="Adriana"/>
    <s v="REAIS"/>
    <s v="Aditivo"/>
    <x v="1"/>
    <x v="1"/>
    <x v="2"/>
    <n v="130808610"/>
    <s v="Anual"/>
    <d v="2026-02-13T00:00:00"/>
    <n v="0.13250000000000001"/>
    <n v="299723.52552000002"/>
    <n v="221252.60250000001"/>
    <d v="2025-08-22T00:00:00"/>
    <d v="2028-07-28T00:00:00"/>
    <x v="3"/>
    <d v="2028-07-28T00:00:00"/>
  </r>
  <r>
    <s v="Adriana"/>
    <s v="REAIS"/>
    <s v="Aditivo"/>
    <x v="1"/>
    <x v="1"/>
    <x v="3"/>
    <n v="130808610"/>
    <s v="Anual"/>
    <d v="2026-02-13T00:00:00"/>
    <n v="0.13250000000000001"/>
    <n v="331689.91715203127"/>
    <n v="221252.60250000001"/>
    <d v="2025-08-23T00:00:00"/>
    <d v="2029-07-28T00:00:00"/>
    <x v="3"/>
    <d v="2029-07-28T00:00:00"/>
  </r>
  <r>
    <s v="Adriana"/>
    <s v="REAIS"/>
    <s v="BB Custeio"/>
    <x v="1"/>
    <x v="0"/>
    <x v="0"/>
    <n v="130809161"/>
    <s v="Única"/>
    <d v="2026-02-13T00:00:00"/>
    <n v="0.16"/>
    <n v="2592924.1430533333"/>
    <n v="2341886.88"/>
    <d v="2025-09-22T00:00:00"/>
    <d v="2026-09-28T00:00:00"/>
    <x v="11"/>
    <d v="2026-09-28T00:00:00"/>
  </r>
  <r>
    <s v="João"/>
    <s v="REAIS"/>
    <s v="CNH"/>
    <x v="6"/>
    <x v="1"/>
    <x v="0"/>
    <n v="2328487"/>
    <s v="Anual"/>
    <d v="2026-02-13T00:00:00"/>
    <n v="0.115"/>
    <n v="1468690.65"/>
    <n v="958380.30333333334"/>
    <d v="2025-04-02T00:00:00"/>
    <d v="2026-03-17T00:00:00"/>
    <x v="8"/>
    <d v="2031-03-17T00:00:00"/>
  </r>
  <r>
    <s v="João"/>
    <s v="REAIS"/>
    <s v="CNH"/>
    <x v="6"/>
    <x v="1"/>
    <x v="1"/>
    <n v="2328487"/>
    <s v="Anual"/>
    <d v="2026-02-13T00:00:00"/>
    <n v="0.115"/>
    <n v="1364083.71"/>
    <n v="958380.30333333334"/>
    <d v="2025-04-02T00:00:00"/>
    <d v="2027-03-17T00:00:00"/>
    <x v="8"/>
    <d v="2031-03-17T00:00:00"/>
  </r>
  <r>
    <s v="João"/>
    <s v="REAIS"/>
    <s v="CNH"/>
    <x v="6"/>
    <x v="1"/>
    <x v="2"/>
    <n v="2328487"/>
    <s v="Anual"/>
    <d v="2026-02-13T00:00:00"/>
    <n v="0.115"/>
    <n v="1266737"/>
    <n v="958380.30333333334"/>
    <d v="2025-04-02T00:00:00"/>
    <d v="2028-03-17T00:00:00"/>
    <x v="8"/>
    <d v="2031-03-17T00:00:00"/>
  </r>
  <r>
    <s v="João"/>
    <s v="REAIS"/>
    <s v="CNH"/>
    <x v="6"/>
    <x v="1"/>
    <x v="3"/>
    <n v="2328487"/>
    <s v="Anual"/>
    <d v="2026-02-13T00:00:00"/>
    <n v="0.115"/>
    <n v="1165427.4099999999"/>
    <n v="958380.30333333334"/>
    <d v="2025-04-02T00:00:00"/>
    <d v="2029-03-17T00:00:00"/>
    <x v="8"/>
    <d v="2031-03-17T00:00:00"/>
  </r>
  <r>
    <s v="João"/>
    <s v="REAIS"/>
    <s v="CNH"/>
    <x v="6"/>
    <x v="1"/>
    <x v="4"/>
    <n v="2328487"/>
    <s v="Anual"/>
    <d v="2026-02-13T00:00:00"/>
    <n v="0.115"/>
    <n v="1006410"/>
    <n v="958380.30333333334"/>
    <d v="2025-04-02T00:00:00"/>
    <d v="2030-03-17T00:00:00"/>
    <x v="8"/>
    <d v="2031-03-17T00:00:00"/>
  </r>
  <r>
    <s v="João"/>
    <s v="REAIS"/>
    <s v="CNH"/>
    <x v="6"/>
    <x v="1"/>
    <x v="5"/>
    <n v="2328487"/>
    <s v="Anual"/>
    <d v="2026-02-13T00:00:00"/>
    <n v="0.115"/>
    <n v="967281.78"/>
    <n v="958380.30333333334"/>
    <d v="2025-04-02T00:00:00"/>
    <d v="2031-03-17T00:00:00"/>
    <x v="8"/>
    <d v="2031-03-17T00:00:00"/>
  </r>
  <r>
    <s v="Ivan"/>
    <s v="REAIS"/>
    <s v="CNH"/>
    <x v="6"/>
    <x v="1"/>
    <x v="0"/>
    <n v="2270939"/>
    <s v="Anual"/>
    <d v="2026-02-13T00:00:00"/>
    <n v="0.16"/>
    <n v="229970.2"/>
    <n v="184879.18999999997"/>
    <d v="2023-12-05T00:00:00"/>
    <d v="2026-08-23T00:00:00"/>
    <x v="5"/>
    <d v="2028-08-23T00:00:00"/>
  </r>
  <r>
    <s v="Ivan"/>
    <s v="REAIS"/>
    <s v="CNH"/>
    <x v="6"/>
    <x v="1"/>
    <x v="1"/>
    <n v="2270939"/>
    <s v="Anual"/>
    <d v="2026-02-13T00:00:00"/>
    <n v="0.16"/>
    <n v="229970.2"/>
    <n v="184879.18999999997"/>
    <d v="2023-12-05T00:00:00"/>
    <d v="2027-08-23T00:00:00"/>
    <x v="5"/>
    <d v="2028-08-23T00:00:00"/>
  </r>
  <r>
    <s v="Ivan"/>
    <s v="REAIS"/>
    <s v="CNH"/>
    <x v="6"/>
    <x v="1"/>
    <x v="2"/>
    <n v="2270939"/>
    <s v="Anual"/>
    <d v="2026-02-13T00:00:00"/>
    <n v="0.16"/>
    <n v="229970.2"/>
    <n v="184879.18999999997"/>
    <d v="2023-12-05T00:00:00"/>
    <d v="2028-08-23T00:00:00"/>
    <x v="5"/>
    <d v="2028-08-23T00:00:00"/>
  </r>
  <r>
    <s v="Ivan"/>
    <s v="REAIS"/>
    <s v="CNH"/>
    <x v="6"/>
    <x v="1"/>
    <x v="4"/>
    <n v="2341835"/>
    <s v="Anual"/>
    <d v="2026-02-13T00:00:00"/>
    <n v="0.18"/>
    <n v="368558.16"/>
    <n v="258079.41200000001"/>
    <d v="2025-05-30T00:00:00"/>
    <d v="2030-05-15T00:00:00"/>
    <x v="2"/>
    <d v="2030-05-15T00:00:00"/>
  </r>
  <r>
    <s v="Ivan"/>
    <s v="REAIS"/>
    <s v="CNH"/>
    <x v="6"/>
    <x v="1"/>
    <x v="3"/>
    <n v="2341835"/>
    <s v="Anual"/>
    <d v="2026-02-13T00:00:00"/>
    <n v="0.18"/>
    <n v="368558.16"/>
    <n v="258079.41200000001"/>
    <d v="2025-05-30T00:00:00"/>
    <d v="2029-05-15T00:00:00"/>
    <x v="2"/>
    <d v="2030-05-15T00:00:00"/>
  </r>
  <r>
    <s v="Ivan"/>
    <s v="REAIS"/>
    <s v="CNH"/>
    <x v="6"/>
    <x v="1"/>
    <x v="2"/>
    <n v="2341835"/>
    <s v="Anual"/>
    <d v="2026-02-13T00:00:00"/>
    <n v="0.18"/>
    <n v="368558.16"/>
    <n v="258079.41200000001"/>
    <d v="2025-05-30T00:00:00"/>
    <d v="2028-05-15T00:00:00"/>
    <x v="2"/>
    <d v="2030-05-15T00:00:00"/>
  </r>
  <r>
    <s v="Ivan"/>
    <s v="REAIS"/>
    <s v="CNH"/>
    <x v="6"/>
    <x v="1"/>
    <x v="1"/>
    <n v="2341835"/>
    <s v="Anual"/>
    <d v="2026-02-13T00:00:00"/>
    <n v="0.18"/>
    <n v="368558.16"/>
    <n v="258079.41200000001"/>
    <d v="2025-05-30T00:00:00"/>
    <d v="2027-05-15T00:00:00"/>
    <x v="2"/>
    <d v="2030-05-15T00:00:00"/>
  </r>
  <r>
    <s v="Ivan"/>
    <s v="REAIS"/>
    <s v="CNH"/>
    <x v="6"/>
    <x v="1"/>
    <x v="0"/>
    <n v="2341835"/>
    <s v="Anual"/>
    <d v="2026-02-13T00:00:00"/>
    <n v="0.18"/>
    <n v="368558.16"/>
    <n v="258079.41200000001"/>
    <d v="2025-05-30T00:00:00"/>
    <d v="2026-05-15T00:00:00"/>
    <x v="2"/>
    <d v="2030-05-15T00:00:00"/>
  </r>
  <r>
    <s v="João"/>
    <s v="REAIS"/>
    <s v="BB FCO RURAL"/>
    <x v="1"/>
    <x v="1"/>
    <x v="0"/>
    <n v="4007704"/>
    <s v="Anual"/>
    <d v="2026-02-13T00:00:00"/>
    <n v="7.4999999999999997E-2"/>
    <n v="74127.803027777773"/>
    <n v="70785.17"/>
    <d v="2017-09-22T00:00:00"/>
    <d v="2026-09-01T00:00:00"/>
    <x v="11"/>
    <d v="2027-09-01T00:00:00"/>
  </r>
  <r>
    <s v="João"/>
    <s v="REAIS"/>
    <s v="BB FCO RURAL"/>
    <x v="1"/>
    <x v="1"/>
    <x v="1"/>
    <n v="4007704"/>
    <s v="Anual"/>
    <d v="2026-02-13T00:00:00"/>
    <n v="7.4999999999999997E-2"/>
    <n v="80228.108303472225"/>
    <n v="70785.17"/>
    <d v="2017-09-22T00:00:00"/>
    <d v="2027-09-01T00:00:00"/>
    <x v="11"/>
    <d v="2027-09-01T00:00:00"/>
  </r>
  <r>
    <s v="João"/>
    <s v="REAIS"/>
    <s v="BB FCO RURAL"/>
    <x v="1"/>
    <x v="1"/>
    <x v="0"/>
    <n v="4008091"/>
    <s v="Anual"/>
    <d v="2026-02-13T00:00:00"/>
    <n v="7.4999999999999997E-2"/>
    <n v="72980.57620949074"/>
    <n v="72179.583333333328"/>
    <d v="2018-05-11T00:00:00"/>
    <d v="2026-04-01T00:00:00"/>
    <x v="0"/>
    <d v="2028-04-01T00:00:00"/>
  </r>
  <r>
    <s v="João"/>
    <s v="REAIS"/>
    <s v="BB FCO RURAL"/>
    <x v="1"/>
    <x v="1"/>
    <x v="1"/>
    <n v="4008091"/>
    <s v="Anual"/>
    <d v="2026-02-13T00:00:00"/>
    <n v="7.4999999999999997E-2"/>
    <n v="79201.052800925914"/>
    <n v="72179.583333333328"/>
    <d v="2018-05-11T00:00:00"/>
    <d v="2027-04-01T00:00:00"/>
    <x v="0"/>
    <d v="2028-04-01T00:00:00"/>
  </r>
  <r>
    <s v="João"/>
    <s v="REAIS"/>
    <s v="BB FCO RURAL"/>
    <x v="1"/>
    <x v="1"/>
    <x v="2"/>
    <n v="4008091"/>
    <s v="Anual"/>
    <d v="2026-02-13T00:00:00"/>
    <n v="7.4999999999999997E-2"/>
    <n v="85438.571793981479"/>
    <n v="72179.583333333328"/>
    <d v="2018-05-11T00:00:00"/>
    <d v="2028-04-01T00:00:00"/>
    <x v="0"/>
    <d v="2028-04-01T00:00:00"/>
  </r>
  <r>
    <s v="João"/>
    <s v="REAIS"/>
    <s v="BB FCO RURAL"/>
    <x v="1"/>
    <x v="1"/>
    <x v="0"/>
    <n v="4008209"/>
    <s v="Anual"/>
    <d v="2026-02-13T00:00:00"/>
    <n v="7.4999999999999997E-2"/>
    <n v="156448.88283921298"/>
    <n v="153655.34333333335"/>
    <d v="2018-06-29T00:00:00"/>
    <d v="2026-05-01T00:00:00"/>
    <x v="2"/>
    <d v="2028-05-01T00:00:00"/>
  </r>
  <r>
    <s v="João"/>
    <s v="REAIS"/>
    <s v="BB FCO RURAL"/>
    <x v="1"/>
    <x v="1"/>
    <x v="1"/>
    <n v="4008209"/>
    <s v="Anual"/>
    <d v="2026-02-13T00:00:00"/>
    <n v="7.4999999999999997E-2"/>
    <n v="169690.98569175927"/>
    <n v="153655.34333333335"/>
    <d v="2018-06-29T00:00:00"/>
    <d v="2027-05-01T00:00:00"/>
    <x v="2"/>
    <d v="2028-05-01T00:00:00"/>
  </r>
  <r>
    <s v="João"/>
    <s v="REAIS"/>
    <s v="BB FCO RURAL"/>
    <x v="1"/>
    <x v="1"/>
    <x v="2"/>
    <n v="4008209"/>
    <s v="Anual"/>
    <d v="2026-02-13T00:00:00"/>
    <n v="7.4999999999999997E-2"/>
    <n v="182969.36827814818"/>
    <n v="153655.34333333335"/>
    <d v="2018-06-29T00:00:00"/>
    <d v="2028-05-01T00:00:00"/>
    <x v="2"/>
    <d v="2028-05-01T00:00:00"/>
  </r>
  <r>
    <s v="João"/>
    <s v="REAIS"/>
    <s v="BB FCO RURAL"/>
    <x v="1"/>
    <x v="1"/>
    <x v="0"/>
    <n v="4008613"/>
    <s v="Anual"/>
    <d v="2026-02-13T00:00:00"/>
    <n v="5.8599999999999999E-2"/>
    <n v="21625.581079488889"/>
    <n v="21559.8475"/>
    <d v="2019-03-29T00:00:00"/>
    <d v="2026-03-01T00:00:00"/>
    <x v="8"/>
    <d v="2029-03-01T00:00:00"/>
  </r>
  <r>
    <s v="João"/>
    <s v="REAIS"/>
    <s v="BB FCO RURAL"/>
    <x v="1"/>
    <x v="1"/>
    <x v="1"/>
    <n v="4008613"/>
    <s v="Anual"/>
    <d v="2026-02-13T00:00:00"/>
    <n v="5.8599999999999999E-2"/>
    <n v="23125.128361579165"/>
    <n v="21559.8475"/>
    <d v="2019-03-29T00:00:00"/>
    <d v="2027-03-01T00:00:00"/>
    <x v="8"/>
    <d v="2029-03-01T00:00:00"/>
  </r>
  <r>
    <s v="João"/>
    <s v="REAIS"/>
    <s v="BB FCO RURAL"/>
    <x v="1"/>
    <x v="1"/>
    <x v="2"/>
    <n v="4008613"/>
    <s v="Anual"/>
    <d v="2026-02-13T00:00:00"/>
    <n v="5.8599999999999999E-2"/>
    <n v="24628.7839923875"/>
    <n v="21559.8475"/>
    <d v="2019-03-29T00:00:00"/>
    <d v="2028-03-01T00:00:00"/>
    <x v="8"/>
    <d v="2029-03-01T00:00:00"/>
  </r>
  <r>
    <s v="João"/>
    <s v="REAIS"/>
    <s v="BB FCO RURAL"/>
    <x v="1"/>
    <x v="1"/>
    <x v="3"/>
    <n v="4008613"/>
    <s v="Anual"/>
    <d v="2026-02-13T00:00:00"/>
    <n v="5.8599999999999999E-2"/>
    <n v="26128.331274477776"/>
    <n v="21559.8475"/>
    <d v="2019-03-29T00:00:00"/>
    <d v="2029-03-01T00:00:00"/>
    <x v="8"/>
    <d v="2029-03-01T00:00:00"/>
  </r>
  <r>
    <s v="João"/>
    <s v="REAIS"/>
    <s v="MODERFROTA BB"/>
    <x v="1"/>
    <x v="1"/>
    <x v="0"/>
    <n v="4008771"/>
    <s v="Anual"/>
    <d v="2026-02-13T00:00:00"/>
    <n v="7.4999999999999997E-2"/>
    <n v="91133.194897499998"/>
    <n v="89839.26"/>
    <d v="2019-06-06T00:00:00"/>
    <d v="2026-04-15T00:00:00"/>
    <x v="0"/>
    <d v="2026-04-15T00:00:00"/>
  </r>
  <r>
    <s v="João"/>
    <s v="REAIS"/>
    <s v="BB FCO RURAL"/>
    <x v="1"/>
    <x v="1"/>
    <x v="0"/>
    <n v="4008918"/>
    <s v="Anual"/>
    <d v="2026-02-13T00:00:00"/>
    <n v="4.87E-2"/>
    <n v="295428.68080492591"/>
    <n v="284749.77333333332"/>
    <d v="2020-07-07T00:00:00"/>
    <d v="2026-10-01T00:00:00"/>
    <x v="1"/>
    <d v="2028-10-01T00:00:00"/>
  </r>
  <r>
    <s v="João"/>
    <s v="REAIS"/>
    <s v="BB FCO RURAL"/>
    <x v="1"/>
    <x v="1"/>
    <x v="1"/>
    <n v="4008918"/>
    <s v="Anual"/>
    <d v="2026-02-13T00:00:00"/>
    <n v="4.87E-2"/>
    <n v="312375.64266201848"/>
    <n v="284749.77333333332"/>
    <d v="2020-07-07T00:00:00"/>
    <d v="2027-10-01T00:00:00"/>
    <x v="1"/>
    <d v="2028-10-01T00:00:00"/>
  </r>
  <r>
    <s v="João"/>
    <s v="REAIS"/>
    <s v="BB FCO RURAL"/>
    <x v="1"/>
    <x v="1"/>
    <x v="2"/>
    <n v="4008918"/>
    <s v="Anual"/>
    <d v="2026-02-13T00:00:00"/>
    <n v="4.87E-2"/>
    <n v="329369.03455159627"/>
    <n v="284749.77333333332"/>
    <d v="2020-07-07T00:00:00"/>
    <d v="2028-10-01T00:00:00"/>
    <x v="1"/>
    <d v="2028-10-01T00:00:00"/>
  </r>
  <r>
    <s v="João"/>
    <s v="REAIS"/>
    <s v="BB INVESTE AGRO"/>
    <x v="1"/>
    <x v="1"/>
    <x v="0"/>
    <n v="4008950"/>
    <s v="Anual"/>
    <d v="2026-02-13T00:00:00"/>
    <n v="7.7499999999999999E-2"/>
    <n v="240546.44390416666"/>
    <n v="241250.09"/>
    <d v="2021-02-04T00:00:00"/>
    <d v="2026-02-01T00:00:00"/>
    <x v="7"/>
    <d v="2027-02-01T00:00:00"/>
  </r>
  <r>
    <s v="João"/>
    <s v="REAIS"/>
    <s v="BB INVESTE AGRO"/>
    <x v="1"/>
    <x v="1"/>
    <x v="1"/>
    <n v="4008950"/>
    <s v="Anual"/>
    <d v="2026-02-13T00:00:00"/>
    <n v="7.7499999999999999E-2"/>
    <n v="261949.01265243054"/>
    <n v="241250.09"/>
    <d v="2021-02-04T00:00:00"/>
    <d v="2027-02-01T00:00:00"/>
    <x v="7"/>
    <d v="2027-02-01T00:00:00"/>
  </r>
  <r>
    <s v="João"/>
    <s v="REAIS"/>
    <s v="FCO RURAL"/>
    <x v="1"/>
    <x v="1"/>
    <x v="0"/>
    <n v="4009174"/>
    <s v="Anual"/>
    <d v="2026-02-13T00:00:00"/>
    <n v="6.0900000000000003E-2"/>
    <n v="75288.551029708338"/>
    <n v="73296.475000000006"/>
    <d v="2021-07-26T00:00:00"/>
    <d v="2026-07-01T00:00:00"/>
    <x v="3"/>
    <d v="2029-07-01T00:00:00"/>
  </r>
  <r>
    <s v="João"/>
    <s v="REAIS"/>
    <s v="FCO RURAL"/>
    <x v="1"/>
    <x v="1"/>
    <x v="1"/>
    <n v="4009174"/>
    <s v="Anual"/>
    <d v="2026-02-13T00:00:00"/>
    <n v="6.0900000000000003E-2"/>
    <n v="80557.44777495139"/>
    <n v="73296.475000000006"/>
    <d v="2021-07-26T00:00:00"/>
    <d v="2027-07-01T00:00:00"/>
    <x v="3"/>
    <d v="2029-07-01T00:00:00"/>
  </r>
  <r>
    <s v="João"/>
    <s v="REAIS"/>
    <s v="FCO RURAL"/>
    <x v="1"/>
    <x v="1"/>
    <x v="2"/>
    <n v="4009174"/>
    <s v="Anual"/>
    <d v="2026-02-13T00:00:00"/>
    <n v="6.0900000000000003E-2"/>
    <n v="85840.779853743064"/>
    <n v="73296.475000000006"/>
    <d v="2021-07-26T00:00:00"/>
    <d v="2028-07-01T00:00:00"/>
    <x v="3"/>
    <d v="2029-07-01T00:00:00"/>
  </r>
  <r>
    <s v="João"/>
    <s v="REAIS"/>
    <s v="FCO RURAL"/>
    <x v="1"/>
    <x v="1"/>
    <x v="3"/>
    <n v="4009174"/>
    <s v="Anual"/>
    <d v="2026-02-13T00:00:00"/>
    <n v="6.0900000000000003E-2"/>
    <n v="91109.676598986116"/>
    <n v="73296.475000000006"/>
    <d v="2021-07-26T00:00:00"/>
    <d v="2029-07-01T00:00:00"/>
    <x v="3"/>
    <d v="2029-07-01T00:00:00"/>
  </r>
  <r>
    <s v="João"/>
    <s v="REAIS"/>
    <s v="BB INVESTE AGRO"/>
    <x v="1"/>
    <x v="1"/>
    <x v="0"/>
    <n v="4009269"/>
    <s v="Anual"/>
    <d v="2026-02-13T00:00:00"/>
    <n v="0.09"/>
    <n v="908850.23162962962"/>
    <n v="851160.46666666667"/>
    <d v="2021-10-28T00:00:00"/>
    <d v="2026-10-15T00:00:00"/>
    <x v="1"/>
    <d v="2028-10-15T00:00:00"/>
  </r>
  <r>
    <s v="João"/>
    <s v="REAIS"/>
    <s v="BB INVESTE AGRO"/>
    <x v="1"/>
    <x v="1"/>
    <x v="1"/>
    <n v="4009269"/>
    <s v="Anual"/>
    <d v="2026-02-13T00:00:00"/>
    <n v="0.09"/>
    <n v="995148.44561111112"/>
    <n v="851160.46666666667"/>
    <d v="2021-10-28T00:00:00"/>
    <d v="2027-10-15T00:00:00"/>
    <x v="1"/>
    <d v="2028-10-15T00:00:00"/>
  </r>
  <r>
    <s v="João"/>
    <s v="REAIS"/>
    <s v="BB INVESTE AGRO"/>
    <x v="1"/>
    <x v="1"/>
    <x v="2"/>
    <n v="4009269"/>
    <s v="Anual"/>
    <d v="2026-02-13T00:00:00"/>
    <n v="0.09"/>
    <n v="1081683.0930555556"/>
    <n v="851160.46666666667"/>
    <d v="2021-10-28T00:00:00"/>
    <d v="2028-10-15T00:00:00"/>
    <x v="1"/>
    <d v="2028-10-15T00:00:00"/>
  </r>
  <r>
    <s v="João"/>
    <s v="REAIS"/>
    <s v="BB INVESTE AGRO"/>
    <x v="1"/>
    <x v="1"/>
    <x v="0"/>
    <n v="4009380"/>
    <s v="Anual"/>
    <d v="2026-02-13T00:00:00"/>
    <n v="0.13450000000000001"/>
    <n v="736594.36330932635"/>
    <n v="722955.60499999998"/>
    <d v="2022-05-02T00:00:00"/>
    <d v="2026-04-01T00:00:00"/>
    <x v="0"/>
    <d v="2029-04-01T00:00:00"/>
  </r>
  <r>
    <s v="João"/>
    <s v="REAIS"/>
    <s v="BB INVESTE AGRO"/>
    <x v="1"/>
    <x v="1"/>
    <x v="1"/>
    <n v="4009380"/>
    <s v="Anual"/>
    <d v="2026-02-13T00:00:00"/>
    <n v="0.13450000000000001"/>
    <n v="842512.3799668611"/>
    <n v="722955.60499999998"/>
    <d v="2022-05-02T00:00:00"/>
    <d v="2027-04-01T00:00:00"/>
    <x v="0"/>
    <d v="2029-04-01T00:00:00"/>
  </r>
  <r>
    <s v="João"/>
    <s v="REAIS"/>
    <s v="BB INVESTE AGRO"/>
    <x v="1"/>
    <x v="1"/>
    <x v="2"/>
    <n v="4009380"/>
    <s v="Anual"/>
    <d v="2026-02-13T00:00:00"/>
    <n v="0.13450000000000001"/>
    <n v="948720.58297140279"/>
    <n v="722955.60499999998"/>
    <d v="2022-05-02T00:00:00"/>
    <d v="2028-04-01T00:00:00"/>
    <x v="0"/>
    <d v="2029-04-01T00:00:00"/>
  </r>
  <r>
    <s v="João"/>
    <s v="REAIS"/>
    <s v="BB INVESTE AGRO"/>
    <x v="1"/>
    <x v="1"/>
    <x v="3"/>
    <n v="4009380"/>
    <s v="Anual"/>
    <d v="2026-02-13T00:00:00"/>
    <n v="0.13450000000000001"/>
    <n v="1054638.5996289374"/>
    <n v="722955.60499999998"/>
    <d v="2022-05-02T00:00:00"/>
    <d v="2029-04-01T00:00:00"/>
    <x v="0"/>
    <d v="2029-04-01T00:00:00"/>
  </r>
  <r>
    <s v="João"/>
    <s v="REAIS"/>
    <s v="BB INVESTE AGRO"/>
    <x v="1"/>
    <x v="1"/>
    <x v="0"/>
    <n v="4009381"/>
    <s v="Anual"/>
    <d v="2026-02-13T00:00:00"/>
    <n v="0.13450000000000001"/>
    <n v="189288.30961322918"/>
    <n v="184403.16250000001"/>
    <d v="2022-05-02T00:00:00"/>
    <d v="2026-04-20T00:00:00"/>
    <x v="0"/>
    <d v="2029-04-20T00:00:00"/>
  </r>
  <r>
    <s v="João"/>
    <s v="REAIS"/>
    <s v="BB INVESTE AGRO"/>
    <x v="1"/>
    <x v="1"/>
    <x v="1"/>
    <n v="4009381"/>
    <s v="Anual"/>
    <d v="2026-02-13T00:00:00"/>
    <n v="0.13450000000000001"/>
    <n v="216304.65349699653"/>
    <n v="184403.16250000001"/>
    <d v="2022-05-02T00:00:00"/>
    <d v="2027-04-20T00:00:00"/>
    <x v="0"/>
    <d v="2029-04-20T00:00:00"/>
  </r>
  <r>
    <s v="João"/>
    <s v="REAIS"/>
    <s v="BB INVESTE AGRO"/>
    <x v="1"/>
    <x v="1"/>
    <x v="2"/>
    <n v="4009381"/>
    <s v="Anual"/>
    <d v="2026-02-13T00:00:00"/>
    <n v="0.13450000000000001"/>
    <n v="243395.01476126738"/>
    <n v="184403.16250000001"/>
    <d v="2022-05-02T00:00:00"/>
    <d v="2028-04-20T00:00:00"/>
    <x v="0"/>
    <d v="2029-04-20T00:00:00"/>
  </r>
  <r>
    <s v="João"/>
    <s v="REAIS"/>
    <s v="BB INVESTE AGRO"/>
    <x v="1"/>
    <x v="1"/>
    <x v="3"/>
    <n v="4009381"/>
    <s v="Anual"/>
    <d v="2026-02-13T00:00:00"/>
    <n v="0.13450000000000001"/>
    <n v="270411.35864503472"/>
    <n v="184403.16250000001"/>
    <d v="2022-05-02T00:00:00"/>
    <d v="2029-04-20T00:00:00"/>
    <x v="0"/>
    <d v="2029-04-20T00:00:00"/>
  </r>
  <r>
    <s v="João"/>
    <s v="REAIS"/>
    <s v="CNH"/>
    <x v="6"/>
    <x v="1"/>
    <x v="0"/>
    <n v="2097206"/>
    <s v="Anual"/>
    <d v="2026-02-13T00:00:00"/>
    <n v="8.5000000000000006E-2"/>
    <n v="111600.01"/>
    <n v="109252.59657090023"/>
    <d v="2019-11-21T00:00:00"/>
    <d v="2026-05-15T00:00:00"/>
    <x v="2"/>
    <d v="2026-05-15T00:00:00"/>
  </r>
  <r>
    <s v="João"/>
    <s v="REAIS"/>
    <s v="Jhon deer 2025"/>
    <x v="2"/>
    <x v="1"/>
    <x v="0"/>
    <n v="4823467"/>
    <s v="Anual"/>
    <d v="2026-02-13T00:00:00"/>
    <n v="0.115"/>
    <n v="509409.04"/>
    <n v="495210.73761868617"/>
    <d v="2025-03-20T00:00:00"/>
    <d v="2026-05-15T00:00:00"/>
    <x v="2"/>
    <d v="2031-05-15T00:00:00"/>
  </r>
  <r>
    <s v="João"/>
    <s v="REAIS"/>
    <s v="Jhon deer 2025"/>
    <x v="2"/>
    <x v="1"/>
    <x v="1"/>
    <n v="4823467"/>
    <s v="Anual"/>
    <d v="2026-02-13T00:00:00"/>
    <n v="0.115"/>
    <n v="463762.29"/>
    <n v="405503.15218953625"/>
    <d v="2025-03-20T00:00:00"/>
    <d v="2027-05-15T00:00:00"/>
    <x v="2"/>
    <d v="2031-05-15T00:00:00"/>
  </r>
  <r>
    <s v="João"/>
    <s v="REAIS"/>
    <s v="Jhon deer 2025"/>
    <x v="2"/>
    <x v="1"/>
    <x v="2"/>
    <n v="4823467"/>
    <s v="Anual"/>
    <d v="2026-02-13T00:00:00"/>
    <n v="0.115"/>
    <n v="430292"/>
    <n v="341776.55430548603"/>
    <d v="2025-03-20T00:00:00"/>
    <d v="2028-05-15T00:00:00"/>
    <x v="2"/>
    <d v="2031-05-15T00:00:00"/>
  </r>
  <r>
    <s v="João"/>
    <s v="REAIS"/>
    <s v="Jhon deer 2025"/>
    <x v="2"/>
    <x v="1"/>
    <x v="3"/>
    <n v="4823467"/>
    <s v="Anual"/>
    <d v="2026-02-13T00:00:00"/>
    <n v="0.115"/>
    <n v="396038.28"/>
    <n v="288240.34097366926"/>
    <d v="2025-03-20T00:00:00"/>
    <d v="2029-05-15T00:00:00"/>
    <x v="2"/>
    <d v="2031-05-15T00:00:00"/>
  </r>
  <r>
    <s v="João"/>
    <s v="REAIS"/>
    <s v="Jhon deer 2025"/>
    <x v="2"/>
    <x v="1"/>
    <x v="4"/>
    <n v="4823467"/>
    <s v="Anual"/>
    <d v="2026-02-13T00:00:00"/>
    <n v="0.115"/>
    <n v="362176.27"/>
    <n v="243236.80457422539"/>
    <d v="2025-03-20T00:00:00"/>
    <d v="2030-05-15T00:00:00"/>
    <x v="2"/>
    <d v="2031-05-15T00:00:00"/>
  </r>
  <r>
    <s v="João"/>
    <s v="REAIS"/>
    <s v="Jhon deer 2025"/>
    <x v="2"/>
    <x v="1"/>
    <x v="5"/>
    <n v="4823467"/>
    <s v="Anual"/>
    <d v="2026-02-13T00:00:00"/>
    <n v="0.115"/>
    <n v="328314.27"/>
    <n v="204686.45506486407"/>
    <d v="2025-03-20T00:00:00"/>
    <d v="2031-05-15T00:00:00"/>
    <x v="2"/>
    <d v="2031-05-15T00:00:00"/>
  </r>
  <r>
    <s v="João"/>
    <s v="REAIS"/>
    <s v="Aditivo"/>
    <x v="1"/>
    <x v="1"/>
    <x v="0"/>
    <n v="130808136"/>
    <s v="Anual"/>
    <d v="2026-02-13T00:00:00"/>
    <n v="0.13800000000000001"/>
    <n v="287652.56425250001"/>
    <n v="269379.64500000002"/>
    <d v="2025-08-15T00:00:00"/>
    <d v="2026-07-28T00:00:00"/>
    <x v="3"/>
    <d v="2026-07-28T00:00:00"/>
  </r>
  <r>
    <s v="João"/>
    <s v="REAIS"/>
    <s v="Aditivo"/>
    <x v="1"/>
    <x v="1"/>
    <x v="1"/>
    <n v="130808136"/>
    <s v="Anual"/>
    <d v="2026-02-13T00:00:00"/>
    <n v="0.13800000000000001"/>
    <n v="328074.47653833334"/>
    <n v="269379.64500000002"/>
    <d v="2025-08-15T00:00:00"/>
    <d v="2027-07-28T00:00:00"/>
    <x v="3"/>
    <d v="2027-07-28T00:00:00"/>
  </r>
  <r>
    <s v="João"/>
    <s v="REAIS"/>
    <s v="Aditivo"/>
    <x v="1"/>
    <x v="1"/>
    <x v="2"/>
    <n v="130808136"/>
    <s v="Anual"/>
    <d v="2026-02-13T00:00:00"/>
    <n v="0.13800000000000001"/>
    <n v="368607.1337893334"/>
    <n v="269379.64500000002"/>
    <d v="2025-08-15T00:00:00"/>
    <d v="2028-07-28T00:00:00"/>
    <x v="3"/>
    <d v="2028-07-28T00:00:00"/>
  </r>
  <r>
    <s v="João"/>
    <s v="REAIS"/>
    <s v="Aditivo"/>
    <x v="1"/>
    <x v="1"/>
    <x v="3"/>
    <n v="130808136"/>
    <s v="Anual"/>
    <d v="2026-02-13T00:00:00"/>
    <n v="0.13800000000000001"/>
    <n v="409029.04607516673"/>
    <n v="269379.64500000002"/>
    <d v="2025-08-15T00:00:00"/>
    <d v="2029-07-28T00:00:00"/>
    <x v="3"/>
    <d v="2029-07-28T00:00:00"/>
  </r>
  <r>
    <s v="João"/>
    <s v="REAIS"/>
    <s v="Aditivo"/>
    <x v="1"/>
    <x v="0"/>
    <x v="0"/>
    <n v="130808137"/>
    <s v="Anual"/>
    <d v="2026-02-13T00:00:00"/>
    <n v="0.13800000000000001"/>
    <n v="2760573.8210284445"/>
    <n v="2647383.4700000002"/>
    <d v="2025-08-15T00:00:00"/>
    <d v="2026-05-28T00:00:00"/>
    <x v="2"/>
    <d v="2026-05-28T00:00:00"/>
  </r>
  <r>
    <s v="João"/>
    <s v="REAIS"/>
    <s v="Aditivo"/>
    <x v="1"/>
    <x v="1"/>
    <x v="0"/>
    <n v="130808594"/>
    <s v="Anual"/>
    <d v="2026-02-13T00:00:00"/>
    <n v="0.13250000000000001"/>
    <n v="353719.44595859374"/>
    <n v="332033.50750000001"/>
    <d v="2025-08-15T00:00:00"/>
    <d v="2026-07-28T00:00:00"/>
    <x v="3"/>
    <d v="2026-07-28T00:00:00"/>
  </r>
  <r>
    <s v="João"/>
    <s v="REAIS"/>
    <s v="Aditivo"/>
    <x v="1"/>
    <x v="1"/>
    <x v="1"/>
    <n v="130808594"/>
    <s v="Anual"/>
    <d v="2026-02-13T00:00:00"/>
    <n v="0.13250000000000001"/>
    <n v="401691.37042760418"/>
    <n v="332033.50750000001"/>
    <d v="2025-08-15T00:00:00"/>
    <d v="2027-07-28T00:00:00"/>
    <x v="3"/>
    <d v="2027-07-28T00:00:00"/>
  </r>
  <r>
    <s v="João"/>
    <s v="REAIS"/>
    <s v="Aditivo"/>
    <x v="1"/>
    <x v="1"/>
    <x v="2"/>
    <n v="130808594"/>
    <s v="Anual"/>
    <d v="2026-02-13T00:00:00"/>
    <n v="0.13250000000000001"/>
    <n v="449794.7248266667"/>
    <n v="332033.50750000001"/>
    <d v="2025-08-15T00:00:00"/>
    <d v="2028-07-28T00:00:00"/>
    <x v="3"/>
    <d v="2028-07-28T00:00:00"/>
  </r>
  <r>
    <s v="João"/>
    <s v="REAIS"/>
    <s v="Aditivo"/>
    <x v="1"/>
    <x v="1"/>
    <x v="3"/>
    <n v="130808594"/>
    <s v="Anual"/>
    <d v="2026-02-13T00:00:00"/>
    <n v="0.13250000000000001"/>
    <n v="497766.64929567708"/>
    <n v="332033.50750000001"/>
    <d v="2025-08-15T00:00:00"/>
    <d v="2029-07-28T00:00:00"/>
    <x v="3"/>
    <d v="2029-07-28T00:00:00"/>
  </r>
  <r>
    <s v="João"/>
    <s v="REAIS"/>
    <s v="Aditivo"/>
    <x v="1"/>
    <x v="0"/>
    <x v="0"/>
    <n v="130808652"/>
    <s v="Anual"/>
    <d v="2026-02-13T00:00:00"/>
    <n v="0.12"/>
    <n v="515302.72408222221"/>
    <n v="496650.73"/>
    <d v="2025-08-15T00:00:00"/>
    <d v="2026-05-28T00:00:00"/>
    <x v="2"/>
    <d v="2026-05-28T00:00:00"/>
  </r>
  <r>
    <s v="João"/>
    <s v="REAIS"/>
    <s v="Aditivo"/>
    <x v="1"/>
    <x v="0"/>
    <x v="0"/>
    <n v="130808653"/>
    <s v="Anual"/>
    <d v="2026-02-13T00:00:00"/>
    <n v="0.12"/>
    <n v="779543.44759166671"/>
    <n v="735707.54"/>
    <d v="2025-08-15T00:00:00"/>
    <d v="2026-07-28T00:00:00"/>
    <x v="3"/>
    <d v="2026-07-28T00:00:00"/>
  </r>
  <r>
    <s v="João"/>
    <s v="REAIS"/>
    <s v="Aditivo"/>
    <x v="1"/>
    <x v="0"/>
    <x v="0"/>
    <n v="130809299"/>
    <s v="Anual"/>
    <d v="2026-02-13T00:00:00"/>
    <n v="0.155"/>
    <n v="1753661.9540079166"/>
    <n v="1568862.97"/>
    <d v="2025-08-15T00:00:00"/>
    <d v="2026-10-28T00:00:00"/>
    <x v="1"/>
    <d v="2026-10-28T00:00:00"/>
  </r>
  <r>
    <s v="João"/>
    <s v="REAIS"/>
    <s v="Aditivo"/>
    <x v="1"/>
    <x v="1"/>
    <x v="0"/>
    <n v="4009706"/>
    <s v="Anual"/>
    <d v="2026-02-13T00:00:00"/>
    <n v="0.11310000000000001"/>
    <n v="227319.82992044446"/>
    <n v="207781.18400000001"/>
    <d v="2025-10-24T00:00:00"/>
    <d v="2026-11-15T00:00:00"/>
    <x v="10"/>
    <d v="2030-11-15T00:00:00"/>
  </r>
  <r>
    <s v="João"/>
    <s v="REAIS"/>
    <s v="Aditivo"/>
    <x v="1"/>
    <x v="1"/>
    <x v="0"/>
    <n v="4009706"/>
    <s v="Anual"/>
    <d v="2026-02-13T00:00:00"/>
    <n v="0.11310000000000001"/>
    <n v="227319.82992044446"/>
    <n v="207781.18400000001"/>
    <d v="2025-08-15T00:00:00"/>
    <d v="2026-11-15T00:00:00"/>
    <x v="10"/>
    <d v="2030-11-15T00:00:00"/>
  </r>
  <r>
    <s v="João"/>
    <s v="REAIS"/>
    <s v="Aditivo"/>
    <x v="1"/>
    <x v="1"/>
    <x v="1"/>
    <n v="4009706"/>
    <s v="Anual"/>
    <d v="2026-02-13T00:00:00"/>
    <n v="0.11310000000000001"/>
    <n v="253252.94177848889"/>
    <n v="207781.18400000001"/>
    <d v="2025-08-15T00:00:00"/>
    <d v="2027-11-15T00:00:00"/>
    <x v="10"/>
    <d v="2030-11-15T00:00:00"/>
  </r>
  <r>
    <s v="João"/>
    <s v="REAIS"/>
    <s v="Aditivo"/>
    <x v="1"/>
    <x v="1"/>
    <x v="2"/>
    <n v="4009706"/>
    <s v="Anual"/>
    <d v="2026-02-13T00:00:00"/>
    <n v="0.11310000000000001"/>
    <n v="279257.10325806221"/>
    <n v="207781.18400000001"/>
    <d v="2025-08-15T00:00:00"/>
    <d v="2028-11-15T00:00:00"/>
    <x v="10"/>
    <d v="2030-11-15T00:00:00"/>
  </r>
  <r>
    <s v="João"/>
    <s v="REAIS"/>
    <s v="Aditivo"/>
    <x v="1"/>
    <x v="1"/>
    <x v="3"/>
    <n v="4009706"/>
    <s v="Anual"/>
    <d v="2026-02-13T00:00:00"/>
    <n v="0.11310000000000001"/>
    <n v="305190.21511610667"/>
    <n v="207781.18400000001"/>
    <d v="2025-08-15T00:00:00"/>
    <d v="2029-11-15T00:00:00"/>
    <x v="10"/>
    <d v="2030-11-15T00:00:00"/>
  </r>
  <r>
    <s v="João"/>
    <s v="REAIS"/>
    <s v="Aditivo"/>
    <x v="1"/>
    <x v="1"/>
    <x v="4"/>
    <n v="4009706"/>
    <s v="Anual"/>
    <d v="2026-02-13T00:00:00"/>
    <n v="0.11310000000000001"/>
    <n v="331123.32697415113"/>
    <n v="207781.18400000001"/>
    <d v="2025-08-15T00:00:00"/>
    <d v="2030-11-15T00:00:00"/>
    <x v="10"/>
    <d v="2030-11-15T00:00:00"/>
  </r>
  <r>
    <s v="João"/>
    <s v="REAIS"/>
    <s v="BB Custeio"/>
    <x v="1"/>
    <x v="0"/>
    <x v="0"/>
    <n v="130809080"/>
    <s v="Única"/>
    <d v="2026-02-13T00:00:00"/>
    <n v="0.14000000000000001"/>
    <n v="3339279.5517249997"/>
    <n v="3239398.11"/>
    <d v="2025-07-28T00:00:00"/>
    <d v="2026-04-28T00:00:00"/>
    <x v="0"/>
    <d v="2026-04-28T00:00:00"/>
  </r>
  <r>
    <s v="João"/>
    <s v="REAIS"/>
    <s v="BB Custeio"/>
    <x v="1"/>
    <x v="0"/>
    <x v="0"/>
    <n v="130809154"/>
    <s v="Única"/>
    <d v="2026-02-13T00:00:00"/>
    <n v="0.16"/>
    <n v="1181501.3194677779"/>
    <n v="1067112.76"/>
    <d v="2025-07-28T00:00:00"/>
    <d v="2026-09-28T00:00:00"/>
    <x v="11"/>
    <d v="2026-09-28T00:00:00"/>
  </r>
  <r>
    <s v="João"/>
    <s v="REAIS"/>
    <s v="Sicoob"/>
    <x v="7"/>
    <x v="1"/>
    <x v="0"/>
    <s v="Colheiradeira João"/>
    <s v="Anual"/>
    <d v="2026-02-13T00:00:00"/>
    <n v="0.12"/>
    <n v="381599.5"/>
    <n v="367275.7459095284"/>
    <d v="2021-09-12T00:00:00"/>
    <d v="2026-06-10T00:00:00"/>
    <x v="4"/>
    <d v="2026-06-10T00:00:00"/>
  </r>
  <r>
    <s v="Neila"/>
    <s v="REAIS"/>
    <s v="BB FCO RURAL"/>
    <x v="1"/>
    <x v="1"/>
    <x v="0"/>
    <n v="4008336"/>
    <s v="Anual"/>
    <d v="2026-02-13T00:00:00"/>
    <n v="5.8599999999999999E-2"/>
    <n v="38884.707836433336"/>
    <n v="37888.370000000003"/>
    <d v="2018-08-31T00:00:00"/>
    <d v="2026-07-01T00:00:00"/>
    <x v="3"/>
    <d v="2028-07-01T00:00:00"/>
  </r>
  <r>
    <s v="Neila"/>
    <s v="REAIS"/>
    <s v="BB FCO RURAL"/>
    <x v="1"/>
    <x v="1"/>
    <x v="1"/>
    <n v="4008336"/>
    <s v="Anual"/>
    <d v="2026-02-13T00:00:00"/>
    <n v="5.8599999999999999E-2"/>
    <n v="41519.949215405555"/>
    <n v="37888.370000000003"/>
    <d v="2018-08-31T00:00:00"/>
    <d v="2027-07-01T00:00:00"/>
    <x v="3"/>
    <d v="2028-07-01T00:00:00"/>
  </r>
  <r>
    <s v="Neila"/>
    <s v="REAIS"/>
    <s v="BB FCO RURAL"/>
    <x v="1"/>
    <x v="1"/>
    <x v="2"/>
    <n v="4008336"/>
    <s v="Anual"/>
    <d v="2026-02-13T00:00:00"/>
    <n v="5.8599999999999999E-2"/>
    <n v="44162.410433772224"/>
    <n v="37888.370000000003"/>
    <d v="2018-08-31T00:00:00"/>
    <d v="2028-07-01T00:00:00"/>
    <x v="3"/>
    <d v="2028-07-01T00:00:00"/>
  </r>
  <r>
    <s v="Neila"/>
    <s v="REAIS"/>
    <s v="BB FCO RURAL"/>
    <x v="1"/>
    <x v="1"/>
    <x v="0"/>
    <n v="4008408"/>
    <s v="Anual"/>
    <d v="2026-02-13T00:00:00"/>
    <n v="5.8599999999999999E-2"/>
    <n v="51516.85907259259"/>
    <n v="49625.573333333334"/>
    <d v="2018-10-04T00:00:00"/>
    <d v="2026-09-01T00:00:00"/>
    <x v="11"/>
    <d v="2028-09-01T00:00:00"/>
  </r>
  <r>
    <s v="Neila"/>
    <s v="REAIS"/>
    <s v="BB FCO RURAL"/>
    <x v="1"/>
    <x v="1"/>
    <x v="1"/>
    <n v="4008408"/>
    <s v="Anual"/>
    <d v="2026-02-13T00:00:00"/>
    <n v="5.8599999999999999E-2"/>
    <n v="54968.455546740741"/>
    <n v="49625.573333333334"/>
    <d v="2018-10-04T00:00:00"/>
    <d v="2027-09-01T00:00:00"/>
    <x v="11"/>
    <d v="2028-09-01T00:00:00"/>
  </r>
  <r>
    <s v="Neila"/>
    <s v="REAIS"/>
    <s v="BB FCO RURAL"/>
    <x v="1"/>
    <x v="1"/>
    <x v="2"/>
    <n v="4008408"/>
    <s v="Anual"/>
    <d v="2026-02-13T00:00:00"/>
    <n v="5.8599999999999999E-2"/>
    <n v="58429.508449585184"/>
    <n v="49625.573333333334"/>
    <d v="2018-10-04T00:00:00"/>
    <d v="2028-09-01T00:00:00"/>
    <x v="11"/>
    <d v="2028-09-01T00:00:00"/>
  </r>
  <r>
    <s v="Neila"/>
    <s v="REAIS"/>
    <s v="Aditivo"/>
    <x v="1"/>
    <x v="1"/>
    <x v="0"/>
    <n v="130808143"/>
    <s v="Anual"/>
    <d v="2026-02-13T00:00:00"/>
    <n v="0.13700000000000001"/>
    <n v="169766.96239281251"/>
    <n v="159050.9075"/>
    <d v="2025-08-15T00:00:00"/>
    <d v="2026-07-28T00:00:00"/>
    <x v="3"/>
    <d v="2029-07-28T00:00:00"/>
  </r>
  <r>
    <s v="Neila"/>
    <s v="REAIS"/>
    <s v="Aditivo"/>
    <x v="1"/>
    <x v="1"/>
    <x v="1"/>
    <n v="130808143"/>
    <s v="Anual"/>
    <d v="2026-02-13T00:00:00"/>
    <n v="0.13700000000000001"/>
    <n v="193472.17473145833"/>
    <n v="159050.9075"/>
    <d v="2025-08-15T00:00:00"/>
    <d v="2027-07-28T00:00:00"/>
    <x v="3"/>
    <d v="2029-07-28T00:00:00"/>
  </r>
  <r>
    <s v="Neila"/>
    <s v="REAIS"/>
    <s v="Aditivo"/>
    <x v="1"/>
    <x v="1"/>
    <x v="2"/>
    <n v="130808143"/>
    <s v="Anual"/>
    <d v="2026-02-13T00:00:00"/>
    <n v="0.13700000000000001"/>
    <n v="217242.33285733336"/>
    <n v="159050.9075"/>
    <d v="2025-08-15T00:00:00"/>
    <d v="2028-07-28T00:00:00"/>
    <x v="3"/>
    <d v="2029-07-28T00:00:00"/>
  </r>
  <r>
    <s v="Neila"/>
    <s v="REAIS"/>
    <s v="Aditivo"/>
    <x v="1"/>
    <x v="1"/>
    <x v="3"/>
    <n v="130808143"/>
    <s v="Anual"/>
    <d v="2026-02-13T00:00:00"/>
    <n v="0.13700000000000001"/>
    <n v="240947.54519597918"/>
    <n v="159050.9075"/>
    <d v="2025-08-15T00:00:00"/>
    <d v="2029-07-28T00:00:00"/>
    <x v="3"/>
    <d v="2029-07-28T00:00:00"/>
  </r>
  <r>
    <s v="Neila"/>
    <s v="REAIS"/>
    <s v="Aditivo"/>
    <x v="1"/>
    <x v="1"/>
    <x v="0"/>
    <n v="130808195"/>
    <s v="Anual"/>
    <d v="2026-02-13T00:00:00"/>
    <n v="0.13800000000000001"/>
    <n v="483415.22439583333"/>
    <n v="452706.625"/>
    <d v="2025-08-15T00:00:00"/>
    <d v="2026-07-28T00:00:00"/>
    <x v="3"/>
    <d v="2029-07-28T00:00:00"/>
  </r>
  <r>
    <s v="Neila"/>
    <s v="REAIS"/>
    <s v="Aditivo"/>
    <x v="1"/>
    <x v="1"/>
    <x v="1"/>
    <n v="130808195"/>
    <s v="Anual"/>
    <d v="2026-02-13T00:00:00"/>
    <n v="0.13800000000000001"/>
    <n v="551346.36851388891"/>
    <n v="452706.625"/>
    <d v="2025-08-15T00:00:00"/>
    <d v="2027-07-28T00:00:00"/>
    <x v="3"/>
    <d v="2029-07-28T00:00:00"/>
  </r>
  <r>
    <s v="Neila"/>
    <s v="REAIS"/>
    <s v="Aditivo"/>
    <x v="1"/>
    <x v="1"/>
    <x v="2"/>
    <n v="130808195"/>
    <s v="Anual"/>
    <d v="2026-02-13T00:00:00"/>
    <n v="0.13800000000000001"/>
    <n v="619463.62535555556"/>
    <n v="452706.625"/>
    <d v="2025-08-15T00:00:00"/>
    <d v="2028-07-28T00:00:00"/>
    <x v="3"/>
    <d v="2029-07-28T00:00:00"/>
  </r>
  <r>
    <s v="Neila"/>
    <s v="REAIS"/>
    <s v="Aditivo"/>
    <x v="1"/>
    <x v="1"/>
    <x v="3"/>
    <n v="130808195"/>
    <s v="Anual"/>
    <d v="2026-02-13T00:00:00"/>
    <n v="0.13800000000000001"/>
    <n v="687394.76947361114"/>
    <n v="452706.625"/>
    <d v="2025-08-15T00:00:00"/>
    <d v="2029-07-28T00:00:00"/>
    <x v="3"/>
    <d v="2029-07-28T00:00:00"/>
  </r>
  <r>
    <s v="Neila"/>
    <s v="REAIS"/>
    <s v="Aditivo"/>
    <x v="1"/>
    <x v="0"/>
    <x v="0"/>
    <n v="130808356"/>
    <s v="Anual"/>
    <d v="2026-02-13T00:00:00"/>
    <n v="0.12"/>
    <n v="642999.79631666664"/>
    <n v="606842.12"/>
    <d v="2025-08-15T00:00:00"/>
    <d v="2026-07-28T00:00:00"/>
    <x v="3"/>
    <d v="2026-07-28T00:00:00"/>
  </r>
  <r>
    <s v="Neila"/>
    <s v="REAIS"/>
    <s v="Aditivo"/>
    <x v="1"/>
    <x v="1"/>
    <x v="0"/>
    <n v="130808605"/>
    <s v="Anual"/>
    <d v="2026-02-13T00:00:00"/>
    <n v="0.13250000000000001"/>
    <n v="204415.02286406248"/>
    <n v="191882.685"/>
    <d v="2025-08-15T00:00:00"/>
    <d v="2026-07-28T00:00:00"/>
    <x v="3"/>
    <d v="2026-07-28T00:00:00"/>
  </r>
  <r>
    <s v="Neila"/>
    <s v="REAIS"/>
    <s v="Aditivo"/>
    <x v="1"/>
    <x v="1"/>
    <x v="1"/>
    <n v="130808605"/>
    <s v="Anual"/>
    <d v="2026-02-13T00:00:00"/>
    <n v="0.13250000000000001"/>
    <n v="232138.07329062501"/>
    <n v="191882.685"/>
    <d v="2025-08-15T00:00:00"/>
    <d v="2027-07-28T00:00:00"/>
    <x v="3"/>
    <d v="2027-07-28T00:00:00"/>
  </r>
  <r>
    <s v="Neila"/>
    <s v="REAIS"/>
    <s v="Aditivo"/>
    <x v="1"/>
    <x v="1"/>
    <x v="2"/>
    <n v="130808605"/>
    <s v="Anual"/>
    <d v="2026-02-13T00:00:00"/>
    <n v="0.13250000000000001"/>
    <n v="259937.07728"/>
    <n v="191882.685"/>
    <d v="2025-08-15T00:00:00"/>
    <d v="2028-07-28T00:00:00"/>
    <x v="3"/>
    <d v="2028-07-28T00:00:00"/>
  </r>
  <r>
    <s v="Neila"/>
    <s v="REAIS"/>
    <s v="Aditivo"/>
    <x v="1"/>
    <x v="1"/>
    <x v="3"/>
    <n v="130808605"/>
    <s v="Anual"/>
    <d v="2026-02-13T00:00:00"/>
    <n v="0.13250000000000001"/>
    <n v="287660.12770656252"/>
    <n v="191882.685"/>
    <d v="2025-08-15T00:00:00"/>
    <d v="2029-07-28T00:00:00"/>
    <x v="3"/>
    <d v="2029-07-28T00:00:00"/>
  </r>
  <r>
    <s v="Neila"/>
    <s v="REAIS"/>
    <s v="Aditivo"/>
    <x v="1"/>
    <x v="1"/>
    <x v="0"/>
    <n v="4009708"/>
    <s v="Anual"/>
    <d v="2026-02-13T00:00:00"/>
    <n v="0.11310000000000001"/>
    <n v="181855.86262351388"/>
    <n v="166224.946"/>
    <d v="2025-10-24T00:00:00"/>
    <d v="2026-11-15T00:00:00"/>
    <x v="10"/>
    <d v="2030-11-15T00:00:00"/>
  </r>
  <r>
    <s v="Neila"/>
    <s v="REAIS"/>
    <s v="Aditivo"/>
    <x v="1"/>
    <x v="1"/>
    <x v="1"/>
    <n v="4009708"/>
    <s v="Anual"/>
    <d v="2026-02-13T00:00:00"/>
    <n v="0.11310000000000001"/>
    <n v="202602.35196017777"/>
    <n v="166224.946"/>
    <d v="2025-10-24T00:00:00"/>
    <d v="2027-11-15T00:00:00"/>
    <x v="10"/>
    <d v="2030-11-15T00:00:00"/>
  </r>
  <r>
    <s v="Neila"/>
    <s v="REAIS"/>
    <s v="Aditivo"/>
    <x v="1"/>
    <x v="1"/>
    <x v="2"/>
    <n v="4009708"/>
    <s v="Anual"/>
    <d v="2026-02-13T00:00:00"/>
    <n v="0.11310000000000001"/>
    <n v="223405.68099365445"/>
    <n v="166224.946"/>
    <d v="2025-10-24T00:00:00"/>
    <d v="2028-11-15T00:00:00"/>
    <x v="10"/>
    <d v="2030-11-15T00:00:00"/>
  </r>
  <r>
    <s v="Neila"/>
    <s v="REAIS"/>
    <s v="Aditivo"/>
    <x v="1"/>
    <x v="1"/>
    <x v="3"/>
    <n v="4009708"/>
    <s v="Anual"/>
    <d v="2026-02-13T00:00:00"/>
    <n v="0.11310000000000001"/>
    <n v="244152.17033031833"/>
    <n v="166224.946"/>
    <d v="2025-10-24T00:00:00"/>
    <d v="2029-11-15T00:00:00"/>
    <x v="10"/>
    <d v="2030-11-15T00:00:00"/>
  </r>
  <r>
    <s v="Neila"/>
    <s v="REAIS"/>
    <s v="Aditivo"/>
    <x v="1"/>
    <x v="1"/>
    <x v="4"/>
    <n v="4009708"/>
    <s v="Anual"/>
    <d v="2026-02-13T00:00:00"/>
    <n v="0.11310000000000001"/>
    <n v="264898.65966698225"/>
    <n v="166224.946"/>
    <d v="2025-10-24T00:00:00"/>
    <d v="2030-11-15T00:00:00"/>
    <x v="10"/>
    <d v="2030-11-15T00:00:00"/>
  </r>
  <r>
    <s v="Neila"/>
    <s v="REAIS"/>
    <s v="BB Custeio"/>
    <x v="1"/>
    <x v="0"/>
    <x v="0"/>
    <n v="130809078"/>
    <s v="Única"/>
    <d v="2026-02-13T00:00:00"/>
    <n v="0.14000000000000001"/>
    <n v="3339279.5517249997"/>
    <n v="3239398.11"/>
    <d v="2025-07-28T00:00:00"/>
    <d v="2026-04-28T00:00:00"/>
    <x v="0"/>
    <d v="2026-04-28T00:00:00"/>
  </r>
  <r>
    <s v="Neila"/>
    <s v="REAIS"/>
    <s v="BB Custeio"/>
    <x v="1"/>
    <x v="0"/>
    <x v="0"/>
    <n v="130809174"/>
    <s v="Única"/>
    <d v="2026-02-13T00:00:00"/>
    <n v="0.16"/>
    <n v="1428846.4526844446"/>
    <n v="1380602.08"/>
    <d v="2025-07-28T00:00:00"/>
    <d v="2026-04-28T00:00:00"/>
    <x v="0"/>
    <d v="2026-04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A13:D21" firstHeaderRow="1" firstDataRow="2" firstDataCol="1"/>
  <pivotFields count="16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4" showAll="0"/>
    <pivotField showAll="0"/>
    <pivotField numFmtId="43" showAll="0"/>
    <pivotField dataField="1" showAll="0"/>
    <pivotField numFmtId="14" showAll="0"/>
    <pivotField numFmtId="14" showAll="0"/>
    <pivotField numFmtId="164" showAll="0"/>
    <pivotField numFmtId="1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Saldo devedor" fld="11" baseField="0" baseItem="0"/>
  </dataFields>
  <formats count="1">
    <format dxfId="45">
      <pivotArea outline="0" collapsedLevelsAreSubtotals="1" fieldPosition="0">
        <references count="1"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A3:D11" firstHeaderRow="1" firstDataRow="2" firstDataCol="1"/>
  <pivotFields count="16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4" showAll="0"/>
    <pivotField showAll="0"/>
    <pivotField dataField="1" numFmtId="43" showAll="0"/>
    <pivotField showAll="0"/>
    <pivotField numFmtId="14" showAll="0"/>
    <pivotField numFmtId="14" showAll="0"/>
    <pivotField numFmtId="164" showAll="0"/>
    <pivotField numFmtId="1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VALOR PARCELA" fld="10" baseField="0" baseItem="0" numFmtId="43"/>
  </dataFields>
  <formats count="2">
    <format dxfId="47">
      <pivotArea outline="0" collapsedLevelsAreSubtotals="1" fieldPosition="0">
        <references count="1">
          <reference field="4" count="0" selected="0"/>
        </references>
      </pivotArea>
    </format>
    <format dxfId="46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>
  <location ref="B3:O11" firstHeaderRow="1" firstDataRow="2" firstDataCol="1"/>
  <pivotFields count="16">
    <pivotField showAll="0"/>
    <pivotField showAll="0"/>
    <pivotField showAll="0"/>
    <pivotField axis="axisRow" showAll="0">
      <items count="9">
        <item x="4"/>
        <item x="1"/>
        <item x="3"/>
        <item x="0"/>
        <item x="6"/>
        <item x="5"/>
        <item x="2"/>
        <item x="7"/>
        <item t="default"/>
      </items>
    </pivotField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/>
    <pivotField showAll="0"/>
    <pivotField numFmtId="14" showAll="0"/>
    <pivotField showAll="0"/>
    <pivotField dataField="1" numFmtId="43" showAll="0"/>
    <pivotField showAll="0"/>
    <pivotField numFmtId="14" showAll="0"/>
    <pivotField numFmtId="14" showAll="0"/>
    <pivotField axis="axisCol" numFmtId="164" showAll="0">
      <items count="13">
        <item x="6"/>
        <item x="7"/>
        <item x="8"/>
        <item x="0"/>
        <item x="2"/>
        <item x="4"/>
        <item x="3"/>
        <item x="5"/>
        <item x="11"/>
        <item x="1"/>
        <item x="10"/>
        <item x="9"/>
        <item t="default"/>
      </items>
    </pivotField>
    <pivotField numFmtId="14" showAll="0"/>
  </pivotFields>
  <rowFields count="2">
    <field x="5"/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 PARCELA" fld="10" baseField="0" baseItem="0" numFmtId="43"/>
  </dataFields>
  <formats count="21">
    <format dxfId="44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  <format dxfId="43">
      <pivotArea field="5" type="button" dataOnly="0" labelOnly="1" outline="0" axis="axisRow" fieldPosition="0"/>
    </format>
    <format dxfId="42">
      <pivotArea dataOnly="0" labelOnly="1" grandCol="1" outline="0" fieldPosition="0"/>
    </format>
    <format dxfId="41">
      <pivotArea dataOnly="0" labelOnly="1" fieldPosition="0">
        <references count="1">
          <reference field="14" count="0"/>
        </references>
      </pivotArea>
    </format>
    <format dxfId="40">
      <pivotArea dataOnly="0" labelOnly="1" fieldPosition="0">
        <references count="1">
          <reference field="14" count="0"/>
        </references>
      </pivotArea>
    </format>
    <format dxfId="39">
      <pivotArea dataOnly="0" labelOnly="1" fieldPosition="0">
        <references count="1">
          <reference field="14" count="0"/>
        </references>
      </pivotArea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14" count="0"/>
        </references>
      </pivotArea>
    </format>
    <format dxfId="36">
      <pivotArea dataOnly="0" labelOnly="1" grandCol="1" outline="0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14" count="0"/>
        </references>
      </pivotArea>
    </format>
    <format dxfId="33">
      <pivotArea dataOnly="0" labelOnly="1" grandCol="1" outline="0" fieldPosition="0"/>
    </format>
    <format dxfId="32">
      <pivotArea collapsedLevelsAreSubtotals="1" fieldPosition="0">
        <references count="1">
          <reference field="5" count="1">
            <x v="0"/>
          </reference>
        </references>
      </pivotArea>
    </format>
    <format dxfId="31">
      <pivotArea dataOnly="0" labelOnly="1" fieldPosition="0">
        <references count="1">
          <reference field="5" count="1">
            <x v="0"/>
          </reference>
        </references>
      </pivotArea>
    </format>
    <format dxfId="30">
      <pivotArea collapsedLevelsAreSubtotals="1" fieldPosition="0">
        <references count="2">
          <reference field="5" count="1">
            <x v="0"/>
          </reference>
          <reference field="14" count="3" selected="0">
            <x v="0"/>
            <x v="1"/>
            <x v="2"/>
          </reference>
        </references>
      </pivotArea>
    </format>
    <format dxfId="29">
      <pivotArea outline="0" collapsedLevelsAreSubtotals="1" fieldPosition="0"/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3" count="0"/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workbookViewId="0">
      <selection activeCell="F5" sqref="F5:H5"/>
    </sheetView>
  </sheetViews>
  <sheetFormatPr defaultRowHeight="14.4" x14ac:dyDescent="0.3"/>
  <cols>
    <col min="1" max="1" width="23" customWidth="1"/>
    <col min="2" max="2" width="18.5546875" bestFit="1" customWidth="1"/>
    <col min="3" max="3" width="15.109375" bestFit="1" customWidth="1"/>
    <col min="4" max="4" width="15.109375" customWidth="1"/>
    <col min="5" max="5" width="13.21875" bestFit="1" customWidth="1"/>
    <col min="6" max="6" width="21.77734375" bestFit="1" customWidth="1"/>
    <col min="7" max="7" width="15" bestFit="1" customWidth="1"/>
    <col min="8" max="8" width="16.21875" bestFit="1" customWidth="1"/>
    <col min="9" max="9" width="8.6640625" bestFit="1" customWidth="1"/>
    <col min="10" max="10" width="20.77734375" bestFit="1" customWidth="1"/>
    <col min="11" max="11" width="4.6640625" bestFit="1" customWidth="1"/>
    <col min="12" max="12" width="4.33203125" bestFit="1" customWidth="1"/>
    <col min="13" max="13" width="7.21875" bestFit="1" customWidth="1"/>
    <col min="14" max="14" width="10.44140625" bestFit="1" customWidth="1"/>
    <col min="15" max="15" width="4.33203125" bestFit="1" customWidth="1"/>
    <col min="16" max="17" width="13.77734375" bestFit="1" customWidth="1"/>
    <col min="18" max="18" width="15.77734375" bestFit="1" customWidth="1"/>
    <col min="19" max="19" width="6.6640625" bestFit="1" customWidth="1"/>
    <col min="20" max="20" width="10" bestFit="1" customWidth="1"/>
  </cols>
  <sheetData>
    <row r="3" spans="1:8" x14ac:dyDescent="0.3">
      <c r="A3" s="76" t="s">
        <v>70</v>
      </c>
      <c r="B3" s="76" t="s">
        <v>60</v>
      </c>
    </row>
    <row r="4" spans="1:8" x14ac:dyDescent="0.3">
      <c r="A4" s="76" t="s">
        <v>57</v>
      </c>
      <c r="B4" t="s">
        <v>10</v>
      </c>
      <c r="C4" t="s">
        <v>18</v>
      </c>
      <c r="D4" t="s">
        <v>58</v>
      </c>
    </row>
    <row r="5" spans="1:8" x14ac:dyDescent="0.3">
      <c r="A5" s="77" t="s">
        <v>11</v>
      </c>
      <c r="B5" s="79">
        <v>53629947.192871436</v>
      </c>
      <c r="C5" s="79">
        <v>38086141.769688867</v>
      </c>
      <c r="D5" s="99">
        <v>91716088.962560296</v>
      </c>
      <c r="E5" s="80"/>
      <c r="F5" s="80"/>
      <c r="G5" s="79"/>
      <c r="H5" s="79"/>
    </row>
    <row r="6" spans="1:8" x14ac:dyDescent="0.3">
      <c r="A6" s="77" t="s">
        <v>19</v>
      </c>
      <c r="B6" s="79"/>
      <c r="C6" s="79">
        <v>27837676.474683538</v>
      </c>
      <c r="D6" s="79">
        <v>27837676.474683538</v>
      </c>
      <c r="E6" s="80"/>
    </row>
    <row r="7" spans="1:8" x14ac:dyDescent="0.3">
      <c r="A7" s="77" t="s">
        <v>20</v>
      </c>
      <c r="B7" s="79"/>
      <c r="C7" s="79">
        <v>27781090.071665123</v>
      </c>
      <c r="D7" s="79">
        <v>27781090.071665123</v>
      </c>
      <c r="E7" s="80"/>
    </row>
    <row r="8" spans="1:8" x14ac:dyDescent="0.3">
      <c r="A8" s="77" t="s">
        <v>21</v>
      </c>
      <c r="B8" s="79"/>
      <c r="C8" s="79">
        <v>23342924.253304005</v>
      </c>
      <c r="D8" s="79">
        <v>23342924.253304005</v>
      </c>
      <c r="E8" s="80"/>
    </row>
    <row r="9" spans="1:8" x14ac:dyDescent="0.3">
      <c r="A9" s="77" t="s">
        <v>22</v>
      </c>
      <c r="B9" s="79"/>
      <c r="C9" s="79">
        <v>12773213.091989283</v>
      </c>
      <c r="D9" s="79">
        <v>12773213.091989283</v>
      </c>
      <c r="E9" s="80"/>
    </row>
    <row r="10" spans="1:8" x14ac:dyDescent="0.3">
      <c r="A10" s="77" t="s">
        <v>23</v>
      </c>
      <c r="B10" s="79"/>
      <c r="C10" s="79">
        <v>1968843.3922114493</v>
      </c>
      <c r="D10" s="79">
        <v>1968843.3922114493</v>
      </c>
      <c r="E10" s="80"/>
    </row>
    <row r="11" spans="1:8" x14ac:dyDescent="0.3">
      <c r="A11" s="77" t="s">
        <v>58</v>
      </c>
      <c r="B11" s="79">
        <v>53629947.192871436</v>
      </c>
      <c r="C11" s="79">
        <v>131789889.05354227</v>
      </c>
      <c r="D11" s="79">
        <v>185419836.24641368</v>
      </c>
      <c r="E11" s="80"/>
    </row>
    <row r="12" spans="1:8" x14ac:dyDescent="0.3">
      <c r="B12" s="80"/>
      <c r="C12" s="80"/>
      <c r="D12" s="80"/>
      <c r="E12" s="80"/>
    </row>
    <row r="13" spans="1:8" x14ac:dyDescent="0.3">
      <c r="A13" s="76" t="s">
        <v>61</v>
      </c>
      <c r="B13" s="76" t="s">
        <v>60</v>
      </c>
      <c r="E13" s="80"/>
    </row>
    <row r="14" spans="1:8" x14ac:dyDescent="0.3">
      <c r="A14" s="76" t="s">
        <v>57</v>
      </c>
      <c r="B14" t="s">
        <v>10</v>
      </c>
      <c r="C14" t="s">
        <v>18</v>
      </c>
      <c r="D14" t="s">
        <v>58</v>
      </c>
      <c r="E14" s="80"/>
    </row>
    <row r="15" spans="1:8" x14ac:dyDescent="0.3">
      <c r="A15" s="77" t="s">
        <v>11</v>
      </c>
      <c r="B15" s="79">
        <v>51141847.705509491</v>
      </c>
      <c r="C15" s="79">
        <v>35263053.886208192</v>
      </c>
      <c r="D15" s="78">
        <v>86404901.59171769</v>
      </c>
      <c r="E15" s="80"/>
    </row>
    <row r="16" spans="1:8" x14ac:dyDescent="0.3">
      <c r="A16" s="77" t="s">
        <v>19</v>
      </c>
      <c r="B16" s="79"/>
      <c r="C16" s="79">
        <v>23720534.887364771</v>
      </c>
      <c r="D16" s="78">
        <v>23720534.887364771</v>
      </c>
      <c r="E16" s="80"/>
    </row>
    <row r="17" spans="1:5" x14ac:dyDescent="0.3">
      <c r="A17" s="77" t="s">
        <v>20</v>
      </c>
      <c r="B17" s="79"/>
      <c r="C17" s="79">
        <v>21628711.715383746</v>
      </c>
      <c r="D17" s="78">
        <v>21628711.715383746</v>
      </c>
      <c r="E17" s="80"/>
    </row>
    <row r="18" spans="1:5" x14ac:dyDescent="0.3">
      <c r="A18" s="77" t="s">
        <v>21</v>
      </c>
      <c r="B18" s="79"/>
      <c r="C18" s="79">
        <v>16442722.903869899</v>
      </c>
      <c r="D18" s="78">
        <v>16442722.903869899</v>
      </c>
      <c r="E18" s="80"/>
    </row>
    <row r="19" spans="1:5" x14ac:dyDescent="0.3">
      <c r="A19" s="77" t="s">
        <v>22</v>
      </c>
      <c r="B19" s="79"/>
      <c r="C19" s="79">
        <v>8537566.350707015</v>
      </c>
      <c r="D19" s="78">
        <v>8537566.350707015</v>
      </c>
      <c r="E19" s="80"/>
    </row>
    <row r="20" spans="1:5" x14ac:dyDescent="0.3">
      <c r="A20" s="77" t="s">
        <v>23</v>
      </c>
      <c r="B20" s="79"/>
      <c r="C20" s="79">
        <v>1574132.1600137101</v>
      </c>
      <c r="D20" s="78">
        <v>1574132.1600137101</v>
      </c>
      <c r="E20" s="80"/>
    </row>
    <row r="21" spans="1:5" x14ac:dyDescent="0.3">
      <c r="A21" s="77" t="s">
        <v>58</v>
      </c>
      <c r="B21" s="79">
        <v>51141847.705509491</v>
      </c>
      <c r="C21" s="79">
        <v>107166721.90354733</v>
      </c>
      <c r="D21" s="78">
        <v>158308569.60905683</v>
      </c>
      <c r="E21" s="80"/>
    </row>
    <row r="22" spans="1:5" x14ac:dyDescent="0.3">
      <c r="B22" s="80"/>
      <c r="C22" s="80"/>
      <c r="D22" s="80"/>
      <c r="E22" s="80"/>
    </row>
    <row r="23" spans="1:5" x14ac:dyDescent="0.3">
      <c r="B23" s="80"/>
      <c r="C23" s="80"/>
      <c r="D23" s="80"/>
      <c r="E23" s="80"/>
    </row>
    <row r="24" spans="1:5" x14ac:dyDescent="0.3">
      <c r="B24" s="80"/>
      <c r="C24" s="80"/>
      <c r="D24" s="80"/>
      <c r="E24" s="8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3"/>
  <sheetViews>
    <sheetView showGridLines="0" tabSelected="1" zoomScale="85" zoomScaleNormal="85" workbookViewId="0">
      <selection activeCell="B5" sqref="B5"/>
    </sheetView>
  </sheetViews>
  <sheetFormatPr defaultRowHeight="14.4" x14ac:dyDescent="0.3"/>
  <cols>
    <col min="2" max="2" width="24" customWidth="1"/>
    <col min="3" max="3" width="19.88671875" style="80" customWidth="1"/>
    <col min="4" max="4" width="13.21875" style="80" bestFit="1" customWidth="1"/>
    <col min="5" max="7" width="14.33203125" style="80" bestFit="1" customWidth="1"/>
    <col min="8" max="8" width="11.6640625" style="80" bestFit="1" customWidth="1"/>
    <col min="9" max="9" width="14.33203125" style="80" bestFit="1" customWidth="1"/>
    <col min="10" max="11" width="13.21875" style="80" bestFit="1" customWidth="1"/>
    <col min="12" max="12" width="14.33203125" style="80" bestFit="1" customWidth="1"/>
    <col min="13" max="14" width="13.21875" style="80" bestFit="1" customWidth="1"/>
    <col min="15" max="15" width="15.44140625" bestFit="1" customWidth="1"/>
    <col min="16" max="16" width="4.33203125" bestFit="1" customWidth="1"/>
    <col min="17" max="18" width="13.77734375" bestFit="1" customWidth="1"/>
    <col min="19" max="19" width="15.77734375" bestFit="1" customWidth="1"/>
    <col min="20" max="20" width="6.6640625" bestFit="1" customWidth="1"/>
    <col min="21" max="21" width="10" bestFit="1" customWidth="1"/>
  </cols>
  <sheetData>
    <row r="3" spans="2:15" x14ac:dyDescent="0.3">
      <c r="B3" s="76" t="s">
        <v>70</v>
      </c>
      <c r="C3" s="76" t="s">
        <v>60</v>
      </c>
      <c r="D3"/>
      <c r="E3"/>
      <c r="F3"/>
      <c r="G3"/>
      <c r="H3"/>
      <c r="I3"/>
      <c r="J3"/>
      <c r="K3"/>
      <c r="L3"/>
      <c r="M3"/>
      <c r="N3"/>
    </row>
    <row r="4" spans="2:15" s="102" customFormat="1" ht="16.8" customHeight="1" x14ac:dyDescent="0.3">
      <c r="B4" s="100" t="s">
        <v>57</v>
      </c>
      <c r="C4" s="101">
        <v>1</v>
      </c>
      <c r="D4" s="101">
        <v>2</v>
      </c>
      <c r="E4" s="101">
        <v>3</v>
      </c>
      <c r="F4" s="101">
        <v>4</v>
      </c>
      <c r="G4" s="101">
        <v>5</v>
      </c>
      <c r="H4" s="101">
        <v>6</v>
      </c>
      <c r="I4" s="101">
        <v>7</v>
      </c>
      <c r="J4" s="101">
        <v>8</v>
      </c>
      <c r="K4" s="101">
        <v>9</v>
      </c>
      <c r="L4" s="101">
        <v>10</v>
      </c>
      <c r="M4" s="101">
        <v>11</v>
      </c>
      <c r="N4" s="101">
        <v>12</v>
      </c>
      <c r="O4" s="109" t="s">
        <v>58</v>
      </c>
    </row>
    <row r="5" spans="2:15" s="103" customFormat="1" ht="15.6" customHeight="1" x14ac:dyDescent="0.3">
      <c r="B5" s="104" t="s">
        <v>11</v>
      </c>
      <c r="C5" s="105"/>
      <c r="D5" s="105">
        <v>1668319.9154854168</v>
      </c>
      <c r="E5" s="105">
        <v>8760366.3669081144</v>
      </c>
      <c r="F5" s="106">
        <v>18803374.778003767</v>
      </c>
      <c r="G5" s="106">
        <v>32276330.347760543</v>
      </c>
      <c r="H5" s="106">
        <v>417732.90016660001</v>
      </c>
      <c r="I5" s="106">
        <v>6087631.0906691793</v>
      </c>
      <c r="J5" s="106">
        <v>1300182.0241536112</v>
      </c>
      <c r="K5" s="106">
        <v>5915144.8444399545</v>
      </c>
      <c r="L5" s="106">
        <v>10798765.7143277</v>
      </c>
      <c r="M5" s="106">
        <v>1095094.8895076176</v>
      </c>
      <c r="N5" s="106">
        <v>4593146.0911377976</v>
      </c>
      <c r="O5" s="106">
        <v>91716088.962560296</v>
      </c>
    </row>
    <row r="6" spans="2:15" s="103" customFormat="1" ht="15.6" customHeight="1" x14ac:dyDescent="0.3">
      <c r="B6" s="107" t="s">
        <v>19</v>
      </c>
      <c r="C6" s="108">
        <v>1795652.9952942161</v>
      </c>
      <c r="D6" s="108">
        <v>1918722.9691274308</v>
      </c>
      <c r="E6" s="108">
        <v>1844902.2324869239</v>
      </c>
      <c r="F6" s="108">
        <v>1559978.2352757836</v>
      </c>
      <c r="G6" s="108">
        <v>5645737.7934908336</v>
      </c>
      <c r="H6" s="108"/>
      <c r="I6" s="108">
        <v>5271700.6031256644</v>
      </c>
      <c r="J6" s="108">
        <v>1333198.3301200001</v>
      </c>
      <c r="K6" s="108">
        <v>212894.28978625464</v>
      </c>
      <c r="L6" s="108">
        <v>6971135.8858859167</v>
      </c>
      <c r="M6" s="108">
        <v>970995.11856651201</v>
      </c>
      <c r="N6" s="108">
        <v>312758.02152400004</v>
      </c>
      <c r="O6" s="108">
        <v>27837676.474683538</v>
      </c>
    </row>
    <row r="7" spans="2:15" s="103" customFormat="1" ht="15.6" customHeight="1" x14ac:dyDescent="0.3">
      <c r="B7" s="107" t="s">
        <v>20</v>
      </c>
      <c r="C7" s="108">
        <v>1979202.6477441243</v>
      </c>
      <c r="D7" s="108">
        <v>1189755.8266000003</v>
      </c>
      <c r="E7" s="108">
        <v>2144839.7446283996</v>
      </c>
      <c r="F7" s="108">
        <v>1752451.8961386518</v>
      </c>
      <c r="G7" s="108">
        <v>5135445.9402501266</v>
      </c>
      <c r="H7" s="108"/>
      <c r="I7" s="108">
        <v>5419780.4423101489</v>
      </c>
      <c r="J7" s="108">
        <v>1505313.2046400001</v>
      </c>
      <c r="K7" s="108">
        <v>58429.508449585184</v>
      </c>
      <c r="L7" s="108">
        <v>7521372.888676092</v>
      </c>
      <c r="M7" s="108">
        <v>1074497.9722279862</v>
      </c>
      <c r="N7" s="108"/>
      <c r="O7" s="108">
        <v>27781090.071665116</v>
      </c>
    </row>
    <row r="8" spans="2:15" s="103" customFormat="1" ht="15.6" customHeight="1" x14ac:dyDescent="0.3">
      <c r="B8" s="107" t="s">
        <v>21</v>
      </c>
      <c r="C8" s="108">
        <v>1107552.9397991695</v>
      </c>
      <c r="D8" s="108">
        <v>1361870.7011200003</v>
      </c>
      <c r="E8" s="108">
        <v>3917159.0601785444</v>
      </c>
      <c r="F8" s="108">
        <v>1852740.6242968056</v>
      </c>
      <c r="G8" s="108">
        <v>1175706.2321553167</v>
      </c>
      <c r="H8" s="108"/>
      <c r="I8" s="108">
        <v>5761994.840437063</v>
      </c>
      <c r="J8" s="108">
        <v>1446987.6199400004</v>
      </c>
      <c r="K8" s="108"/>
      <c r="L8" s="108">
        <v>5541194.2041697828</v>
      </c>
      <c r="M8" s="108">
        <v>1177718.0312073249</v>
      </c>
      <c r="N8" s="108"/>
      <c r="O8" s="108">
        <v>23342924.253304005</v>
      </c>
    </row>
    <row r="9" spans="2:15" s="103" customFormat="1" ht="15.6" customHeight="1" x14ac:dyDescent="0.3">
      <c r="B9" s="107" t="s">
        <v>22</v>
      </c>
      <c r="C9" s="108">
        <v>303405.24855226517</v>
      </c>
      <c r="D9" s="108">
        <v>1533515.3164200005</v>
      </c>
      <c r="E9" s="108">
        <v>1006410</v>
      </c>
      <c r="F9" s="108"/>
      <c r="G9" s="108">
        <v>1108791.9900873946</v>
      </c>
      <c r="H9" s="108"/>
      <c r="I9" s="108"/>
      <c r="J9" s="108">
        <v>1618632.2352400003</v>
      </c>
      <c r="K9" s="108"/>
      <c r="L9" s="108">
        <v>5921520.21150296</v>
      </c>
      <c r="M9" s="108">
        <v>1280938.0901866639</v>
      </c>
      <c r="N9" s="108"/>
      <c r="O9" s="108">
        <v>12773213.091989283</v>
      </c>
    </row>
    <row r="10" spans="2:15" s="103" customFormat="1" ht="15.6" customHeight="1" x14ac:dyDescent="0.3">
      <c r="B10" s="107" t="s">
        <v>23</v>
      </c>
      <c r="C10" s="108">
        <v>328907.15672686091</v>
      </c>
      <c r="D10" s="108"/>
      <c r="E10" s="108">
        <v>967281.78</v>
      </c>
      <c r="F10" s="108"/>
      <c r="G10" s="108">
        <v>672654.4554845884</v>
      </c>
      <c r="H10" s="108"/>
      <c r="I10" s="108"/>
      <c r="J10" s="108"/>
      <c r="K10" s="108"/>
      <c r="L10" s="108"/>
      <c r="M10" s="108"/>
      <c r="N10" s="108"/>
      <c r="O10" s="108">
        <v>1968843.3922114493</v>
      </c>
    </row>
    <row r="11" spans="2:15" s="103" customFormat="1" ht="15.6" customHeight="1" x14ac:dyDescent="0.3">
      <c r="B11" s="107" t="s">
        <v>58</v>
      </c>
      <c r="C11" s="108">
        <v>5514720.9881166369</v>
      </c>
      <c r="D11" s="108">
        <v>7672184.7287528478</v>
      </c>
      <c r="E11" s="108">
        <v>18640959.184201986</v>
      </c>
      <c r="F11" s="108">
        <v>23968545.53371501</v>
      </c>
      <c r="G11" s="108">
        <v>46014666.759228811</v>
      </c>
      <c r="H11" s="108">
        <v>417732.90016660001</v>
      </c>
      <c r="I11" s="108">
        <v>22541106.976542056</v>
      </c>
      <c r="J11" s="108">
        <v>7204313.4140936118</v>
      </c>
      <c r="K11" s="108">
        <v>6186468.6426757947</v>
      </c>
      <c r="L11" s="108">
        <v>36753988.904562451</v>
      </c>
      <c r="M11" s="108">
        <v>5599244.1016961047</v>
      </c>
      <c r="N11" s="108">
        <v>4905904.1126617976</v>
      </c>
      <c r="O11" s="108">
        <v>185419836.24641368</v>
      </c>
    </row>
    <row r="12" spans="2:15" s="103" customFormat="1" ht="15.6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2:15" s="103" customFormat="1" ht="15.6" customHeight="1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15" s="103" customFormat="1" ht="15.6" customHeight="1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2:15" s="103" customFormat="1" ht="15.6" customHeigh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2:15" s="103" customFormat="1" ht="15.6" customHeight="1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2:15" s="103" customFormat="1" ht="15.6" customHeight="1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2:15" s="103" customFormat="1" ht="15.6" customHeight="1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2:15" s="103" customFormat="1" ht="15.6" customHeight="1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2:15" x14ac:dyDescent="0.3">
      <c r="C20"/>
      <c r="D20"/>
      <c r="E20"/>
      <c r="F20"/>
      <c r="G20"/>
      <c r="H20"/>
      <c r="I20"/>
      <c r="J20"/>
      <c r="K20"/>
      <c r="L20"/>
      <c r="M20"/>
      <c r="N20"/>
    </row>
    <row r="21" spans="2:15" x14ac:dyDescent="0.3">
      <c r="C21"/>
      <c r="D21"/>
      <c r="E21"/>
      <c r="F21"/>
      <c r="G21"/>
      <c r="H21"/>
      <c r="I21"/>
      <c r="J21"/>
      <c r="K21"/>
      <c r="L21"/>
      <c r="M21"/>
      <c r="N21"/>
    </row>
    <row r="22" spans="2:15" x14ac:dyDescent="0.3">
      <c r="C22"/>
      <c r="D22"/>
      <c r="E22"/>
      <c r="F22"/>
      <c r="G22"/>
      <c r="H22"/>
      <c r="I22"/>
      <c r="J22"/>
      <c r="K22"/>
      <c r="L22"/>
      <c r="M22"/>
      <c r="N22"/>
    </row>
    <row r="23" spans="2:15" x14ac:dyDescent="0.3">
      <c r="C23"/>
      <c r="D23"/>
      <c r="E23"/>
      <c r="F23"/>
      <c r="G23"/>
      <c r="H23"/>
      <c r="I23"/>
      <c r="J23"/>
      <c r="K23"/>
      <c r="L23"/>
      <c r="M23"/>
      <c r="N23"/>
    </row>
    <row r="24" spans="2:15" x14ac:dyDescent="0.3">
      <c r="C24"/>
      <c r="D24"/>
      <c r="E24"/>
      <c r="F24"/>
      <c r="G24"/>
      <c r="H24"/>
      <c r="I24"/>
      <c r="J24"/>
      <c r="K24"/>
      <c r="L24"/>
      <c r="M24"/>
      <c r="N24"/>
    </row>
    <row r="25" spans="2:15" x14ac:dyDescent="0.3">
      <c r="C25"/>
      <c r="D25"/>
      <c r="E25"/>
      <c r="F25"/>
      <c r="G25"/>
      <c r="H25"/>
      <c r="I25"/>
      <c r="J25"/>
      <c r="K25"/>
      <c r="L25"/>
      <c r="M25"/>
      <c r="N25"/>
    </row>
    <row r="26" spans="2:15" x14ac:dyDescent="0.3">
      <c r="C26"/>
      <c r="D26"/>
      <c r="E26"/>
      <c r="F26"/>
      <c r="G26"/>
      <c r="H26"/>
      <c r="I26"/>
      <c r="J26"/>
      <c r="K26"/>
      <c r="L26"/>
      <c r="M26"/>
      <c r="N26"/>
    </row>
    <row r="27" spans="2:15" x14ac:dyDescent="0.3">
      <c r="C27"/>
      <c r="D27"/>
      <c r="E27"/>
      <c r="F27"/>
      <c r="G27"/>
      <c r="H27"/>
      <c r="I27"/>
      <c r="J27"/>
      <c r="K27"/>
      <c r="L27"/>
      <c r="M27"/>
      <c r="N27"/>
    </row>
    <row r="28" spans="2:15" x14ac:dyDescent="0.3">
      <c r="C28"/>
      <c r="D28"/>
      <c r="E28"/>
      <c r="F28"/>
      <c r="G28"/>
      <c r="H28"/>
      <c r="I28"/>
      <c r="J28"/>
      <c r="K28"/>
      <c r="L28"/>
      <c r="M28"/>
      <c r="N28"/>
    </row>
    <row r="29" spans="2:15" x14ac:dyDescent="0.3">
      <c r="C29"/>
      <c r="D29"/>
      <c r="E29"/>
      <c r="F29"/>
      <c r="G29"/>
      <c r="H29"/>
      <c r="I29"/>
      <c r="J29"/>
      <c r="K29"/>
      <c r="L29"/>
      <c r="M29"/>
      <c r="N29"/>
    </row>
    <row r="30" spans="2:15" x14ac:dyDescent="0.3">
      <c r="C30"/>
      <c r="D30"/>
      <c r="E30"/>
      <c r="F30"/>
      <c r="G30"/>
      <c r="H30"/>
      <c r="I30"/>
      <c r="J30"/>
      <c r="K30"/>
      <c r="L30"/>
      <c r="M30"/>
      <c r="N30"/>
    </row>
    <row r="31" spans="2:15" x14ac:dyDescent="0.3">
      <c r="C31"/>
      <c r="D31"/>
      <c r="E31"/>
      <c r="F31"/>
      <c r="G31"/>
      <c r="H31"/>
      <c r="I31"/>
      <c r="J31"/>
      <c r="K31"/>
      <c r="L31"/>
      <c r="M31"/>
      <c r="N31"/>
    </row>
    <row r="32" spans="2:15" x14ac:dyDescent="0.3">
      <c r="C32"/>
      <c r="D32"/>
      <c r="E32"/>
      <c r="F32"/>
      <c r="G32"/>
      <c r="H32"/>
      <c r="I32"/>
      <c r="J32"/>
      <c r="K32"/>
      <c r="L32"/>
      <c r="M32"/>
      <c r="N32"/>
    </row>
    <row r="33" spans="3:14" x14ac:dyDescent="0.3">
      <c r="C33"/>
      <c r="D33"/>
      <c r="E33"/>
      <c r="F33"/>
      <c r="G33"/>
      <c r="H33"/>
      <c r="I33"/>
      <c r="J33"/>
      <c r="K33"/>
      <c r="L33"/>
      <c r="M33"/>
      <c r="N33"/>
    </row>
    <row r="34" spans="3:14" x14ac:dyDescent="0.3">
      <c r="C34"/>
      <c r="D34"/>
      <c r="E34"/>
      <c r="F34"/>
      <c r="G34"/>
      <c r="H34"/>
      <c r="I34"/>
      <c r="J34"/>
      <c r="K34"/>
      <c r="L34"/>
      <c r="M34"/>
      <c r="N34"/>
    </row>
    <row r="35" spans="3:14" x14ac:dyDescent="0.3">
      <c r="C35"/>
      <c r="D35"/>
      <c r="E35"/>
      <c r="F35"/>
      <c r="G35"/>
      <c r="H35"/>
      <c r="I35"/>
      <c r="J35"/>
      <c r="K35"/>
      <c r="L35"/>
      <c r="M35"/>
      <c r="N35"/>
    </row>
    <row r="36" spans="3:14" x14ac:dyDescent="0.3">
      <c r="C36"/>
      <c r="D36"/>
      <c r="E36"/>
      <c r="F36"/>
      <c r="G36"/>
      <c r="H36"/>
      <c r="I36"/>
      <c r="J36"/>
      <c r="K36"/>
      <c r="L36"/>
      <c r="M36"/>
      <c r="N36"/>
    </row>
    <row r="37" spans="3:14" x14ac:dyDescent="0.3">
      <c r="C37"/>
      <c r="D37"/>
      <c r="E37"/>
      <c r="F37"/>
      <c r="G37"/>
      <c r="H37"/>
      <c r="I37"/>
      <c r="J37"/>
      <c r="K37"/>
      <c r="L37"/>
      <c r="M37"/>
      <c r="N37"/>
    </row>
    <row r="38" spans="3:14" x14ac:dyDescent="0.3">
      <c r="C38"/>
      <c r="D38"/>
      <c r="E38"/>
      <c r="F38"/>
      <c r="G38"/>
      <c r="H38"/>
      <c r="I38"/>
      <c r="J38"/>
      <c r="K38"/>
      <c r="L38"/>
      <c r="M38"/>
      <c r="N38"/>
    </row>
    <row r="39" spans="3:14" x14ac:dyDescent="0.3">
      <c r="C39"/>
      <c r="D39"/>
      <c r="E39"/>
      <c r="F39"/>
      <c r="G39"/>
      <c r="H39"/>
      <c r="I39"/>
      <c r="J39"/>
      <c r="K39"/>
      <c r="L39"/>
      <c r="M39"/>
      <c r="N39"/>
    </row>
    <row r="40" spans="3:14" x14ac:dyDescent="0.3">
      <c r="C40"/>
      <c r="D40"/>
      <c r="E40"/>
      <c r="F40"/>
      <c r="G40"/>
      <c r="H40"/>
      <c r="I40"/>
      <c r="J40"/>
      <c r="K40"/>
      <c r="L40"/>
      <c r="M40"/>
      <c r="N40"/>
    </row>
    <row r="41" spans="3:14" x14ac:dyDescent="0.3">
      <c r="C41"/>
      <c r="D41"/>
      <c r="E41"/>
      <c r="F41"/>
      <c r="G41"/>
      <c r="H41"/>
      <c r="I41"/>
      <c r="J41"/>
      <c r="K41"/>
      <c r="L41"/>
      <c r="M41"/>
      <c r="N41"/>
    </row>
    <row r="42" spans="3:14" x14ac:dyDescent="0.3">
      <c r="C42"/>
      <c r="D42"/>
      <c r="E42"/>
      <c r="F42"/>
      <c r="G42"/>
      <c r="H42"/>
      <c r="I42"/>
      <c r="J42"/>
      <c r="K42"/>
      <c r="L42"/>
      <c r="M42"/>
      <c r="N42"/>
    </row>
    <row r="43" spans="3:14" x14ac:dyDescent="0.3">
      <c r="C43"/>
      <c r="D43"/>
      <c r="E43"/>
      <c r="F43"/>
      <c r="G43"/>
      <c r="H43"/>
      <c r="I43"/>
      <c r="J43"/>
      <c r="K43"/>
      <c r="L43"/>
      <c r="M43"/>
      <c r="N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8"/>
  <sheetViews>
    <sheetView zoomScaleNormal="100" workbookViewId="0">
      <selection activeCell="O95" sqref="O95"/>
    </sheetView>
  </sheetViews>
  <sheetFormatPr defaultColWidth="8.88671875" defaultRowHeight="10.199999999999999" x14ac:dyDescent="0.2"/>
  <cols>
    <col min="1" max="1" width="7.6640625" style="9" bestFit="1" customWidth="1"/>
    <col min="2" max="2" width="11" style="17" bestFit="1" customWidth="1"/>
    <col min="3" max="3" width="11" style="17" customWidth="1"/>
    <col min="4" max="4" width="16.88671875" style="17" bestFit="1" customWidth="1"/>
    <col min="5" max="5" width="10.33203125" style="17" bestFit="1" customWidth="1"/>
    <col min="6" max="6" width="17.33203125" style="17" customWidth="1"/>
    <col min="7" max="7" width="11" style="17" customWidth="1"/>
    <col min="8" max="8" width="17.77734375" style="17" customWidth="1"/>
    <col min="9" max="9" width="11.5546875" style="17" bestFit="1" customWidth="1"/>
    <col min="10" max="10" width="11.5546875" style="17" customWidth="1"/>
    <col min="11" max="11" width="8.44140625" style="25" bestFit="1" customWidth="1"/>
    <col min="12" max="12" width="11" style="24" customWidth="1"/>
    <col min="13" max="13" width="10.33203125" style="24" customWidth="1"/>
    <col min="14" max="14" width="13.44140625" style="17" bestFit="1" customWidth="1"/>
    <col min="15" max="15" width="11.44140625" style="17" customWidth="1"/>
    <col min="16" max="16" width="8.44140625" style="17" bestFit="1" customWidth="1"/>
    <col min="17" max="17" width="18.33203125" style="17" bestFit="1" customWidth="1"/>
    <col min="18" max="18" width="9.6640625" style="9" bestFit="1" customWidth="1"/>
    <col min="19" max="16384" width="8.88671875" style="9"/>
  </cols>
  <sheetData>
    <row r="1" spans="1:17" x14ac:dyDescent="0.2">
      <c r="K1" s="74"/>
      <c r="L1" s="18"/>
      <c r="M1" s="18"/>
    </row>
    <row r="2" spans="1:17" x14ac:dyDescent="0.2">
      <c r="K2" s="74"/>
      <c r="L2" s="18"/>
      <c r="M2" s="18"/>
    </row>
    <row r="3" spans="1:17" s="3" customFormat="1" ht="24.75" customHeight="1" x14ac:dyDescent="0.3">
      <c r="A3" s="82"/>
      <c r="B3" s="1" t="s">
        <v>0</v>
      </c>
      <c r="C3" s="1" t="s">
        <v>62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59</v>
      </c>
      <c r="J3" s="1" t="s">
        <v>56</v>
      </c>
      <c r="K3" s="81" t="s">
        <v>55</v>
      </c>
      <c r="L3" s="2" t="s">
        <v>65</v>
      </c>
      <c r="M3" s="2" t="s">
        <v>66</v>
      </c>
      <c r="N3" s="1" t="s">
        <v>67</v>
      </c>
      <c r="O3" s="1" t="s">
        <v>6</v>
      </c>
      <c r="P3" s="1" t="s">
        <v>68</v>
      </c>
      <c r="Q3" s="1" t="s">
        <v>69</v>
      </c>
    </row>
    <row r="4" spans="1:17" x14ac:dyDescent="0.2">
      <c r="B4" s="4" t="s">
        <v>7</v>
      </c>
      <c r="C4" s="4" t="s">
        <v>63</v>
      </c>
      <c r="D4" s="4" t="s">
        <v>8</v>
      </c>
      <c r="E4" s="4" t="s">
        <v>9</v>
      </c>
      <c r="F4" s="4" t="s">
        <v>10</v>
      </c>
      <c r="G4" s="5" t="s">
        <v>11</v>
      </c>
      <c r="H4" s="4">
        <v>288818</v>
      </c>
      <c r="I4" s="4" t="s">
        <v>12</v>
      </c>
      <c r="J4" s="6">
        <v>46066</v>
      </c>
      <c r="K4" s="26">
        <v>0.14000000000000001</v>
      </c>
      <c r="L4" s="23">
        <f>1020473.83+1504826.43</f>
        <v>2525300.2599999998</v>
      </c>
      <c r="M4" s="23">
        <v>2317143.5326502519</v>
      </c>
      <c r="N4" s="6">
        <v>45971</v>
      </c>
      <c r="O4" s="6">
        <v>46128</v>
      </c>
      <c r="P4" s="7">
        <f>MONTH(O4)</f>
        <v>4</v>
      </c>
      <c r="Q4" s="6">
        <v>46128</v>
      </c>
    </row>
    <row r="5" spans="1:17" x14ac:dyDescent="0.2">
      <c r="B5" s="4" t="s">
        <v>7</v>
      </c>
      <c r="C5" s="4" t="s">
        <v>63</v>
      </c>
      <c r="D5" s="4" t="s">
        <v>8</v>
      </c>
      <c r="E5" s="4" t="s">
        <v>9</v>
      </c>
      <c r="F5" s="4" t="s">
        <v>10</v>
      </c>
      <c r="G5" s="5" t="s">
        <v>11</v>
      </c>
      <c r="H5" s="4">
        <v>289702</v>
      </c>
      <c r="I5" s="4" t="s">
        <v>12</v>
      </c>
      <c r="J5" s="6">
        <v>46066</v>
      </c>
      <c r="K5" s="26">
        <v>0.14000000000000001</v>
      </c>
      <c r="L5" s="23">
        <v>2428391.59</v>
      </c>
      <c r="M5" s="30">
        <v>2228222.8995259209</v>
      </c>
      <c r="N5" s="6">
        <v>45971</v>
      </c>
      <c r="O5" s="6">
        <v>46297</v>
      </c>
      <c r="P5" s="7">
        <f>MONTH(O5)</f>
        <v>10</v>
      </c>
      <c r="Q5" s="6">
        <v>46297</v>
      </c>
    </row>
    <row r="6" spans="1:17" x14ac:dyDescent="0.2">
      <c r="B6" s="20" t="s">
        <v>7</v>
      </c>
      <c r="C6" s="20" t="s">
        <v>63</v>
      </c>
      <c r="D6" s="21" t="s">
        <v>24</v>
      </c>
      <c r="E6" s="21" t="s">
        <v>15</v>
      </c>
      <c r="F6" s="95" t="s">
        <v>18</v>
      </c>
      <c r="G6" s="20" t="s">
        <v>11</v>
      </c>
      <c r="H6" s="21">
        <v>4007910</v>
      </c>
      <c r="I6" s="21" t="s">
        <v>12</v>
      </c>
      <c r="J6" s="6">
        <v>46066</v>
      </c>
      <c r="K6" s="26">
        <v>7.4999999999999997E-2</v>
      </c>
      <c r="L6" s="23">
        <f t="shared" ref="L6:L37" si="0">(((O6-J6)*M6*((K6+1%)/12)/30))+M6</f>
        <v>207708.83333333334</v>
      </c>
      <c r="M6" s="23">
        <f t="shared" ref="M6:M7" si="1">408000/2</f>
        <v>204000</v>
      </c>
      <c r="N6" s="22">
        <v>43112</v>
      </c>
      <c r="O6" s="22">
        <v>46143</v>
      </c>
      <c r="P6" s="7">
        <f t="shared" ref="P6:P68" si="2">MONTH(O6)</f>
        <v>5</v>
      </c>
      <c r="Q6" s="22">
        <v>46508</v>
      </c>
    </row>
    <row r="7" spans="1:17" x14ac:dyDescent="0.2">
      <c r="B7" s="20" t="s">
        <v>7</v>
      </c>
      <c r="C7" s="20" t="s">
        <v>63</v>
      </c>
      <c r="D7" s="21" t="s">
        <v>24</v>
      </c>
      <c r="E7" s="21" t="s">
        <v>15</v>
      </c>
      <c r="F7" s="95" t="s">
        <v>18</v>
      </c>
      <c r="G7" s="20" t="s">
        <v>19</v>
      </c>
      <c r="H7" s="21">
        <v>4007910</v>
      </c>
      <c r="I7" s="21" t="s">
        <v>12</v>
      </c>
      <c r="J7" s="6">
        <v>46066</v>
      </c>
      <c r="K7" s="26">
        <v>7.4999999999999997E-2</v>
      </c>
      <c r="L7" s="23">
        <f t="shared" si="0"/>
        <v>225289.66666666666</v>
      </c>
      <c r="M7" s="23">
        <f t="shared" si="1"/>
        <v>204000</v>
      </c>
      <c r="N7" s="22">
        <v>43112</v>
      </c>
      <c r="O7" s="22">
        <v>46508</v>
      </c>
      <c r="P7" s="7">
        <f t="shared" si="2"/>
        <v>5</v>
      </c>
      <c r="Q7" s="22">
        <v>46508</v>
      </c>
    </row>
    <row r="8" spans="1:17" x14ac:dyDescent="0.2">
      <c r="B8" s="5" t="s">
        <v>7</v>
      </c>
      <c r="C8" s="5" t="s">
        <v>63</v>
      </c>
      <c r="D8" s="4" t="s">
        <v>24</v>
      </c>
      <c r="E8" s="4" t="s">
        <v>15</v>
      </c>
      <c r="F8" s="95" t="s">
        <v>18</v>
      </c>
      <c r="G8" s="5" t="s">
        <v>11</v>
      </c>
      <c r="H8" s="4">
        <v>4008354</v>
      </c>
      <c r="I8" s="4" t="s">
        <v>12</v>
      </c>
      <c r="J8" s="6">
        <v>46066</v>
      </c>
      <c r="K8" s="26">
        <v>5.8599999999999999E-2</v>
      </c>
      <c r="L8" s="23">
        <f t="shared" si="0"/>
        <v>144664.13028793334</v>
      </c>
      <c r="M8" s="23">
        <f t="shared" ref="M8:M10" si="3">422872.26/3</f>
        <v>140957.42000000001</v>
      </c>
      <c r="N8" s="8">
        <v>43355</v>
      </c>
      <c r="O8" s="8">
        <v>46204</v>
      </c>
      <c r="P8" s="7">
        <f t="shared" si="2"/>
        <v>7</v>
      </c>
      <c r="Q8" s="8">
        <v>46935</v>
      </c>
    </row>
    <row r="9" spans="1:17" x14ac:dyDescent="0.2">
      <c r="B9" s="5" t="s">
        <v>7</v>
      </c>
      <c r="C9" s="5" t="s">
        <v>63</v>
      </c>
      <c r="D9" s="4" t="s">
        <v>24</v>
      </c>
      <c r="E9" s="4" t="s">
        <v>15</v>
      </c>
      <c r="F9" s="95" t="s">
        <v>18</v>
      </c>
      <c r="G9" s="5" t="s">
        <v>19</v>
      </c>
      <c r="H9" s="4">
        <v>4008354</v>
      </c>
      <c r="I9" s="4" t="s">
        <v>12</v>
      </c>
      <c r="J9" s="6">
        <v>46066</v>
      </c>
      <c r="K9" s="26">
        <v>5.8599999999999999E-2</v>
      </c>
      <c r="L9" s="23">
        <f t="shared" si="0"/>
        <v>154468.11039732222</v>
      </c>
      <c r="M9" s="23">
        <f t="shared" si="3"/>
        <v>140957.42000000001</v>
      </c>
      <c r="N9" s="8">
        <v>43355</v>
      </c>
      <c r="O9" s="8">
        <v>46569</v>
      </c>
      <c r="P9" s="7">
        <f t="shared" si="2"/>
        <v>7</v>
      </c>
      <c r="Q9" s="8">
        <v>46935</v>
      </c>
    </row>
    <row r="10" spans="1:17" x14ac:dyDescent="0.2">
      <c r="B10" s="5" t="s">
        <v>7</v>
      </c>
      <c r="C10" s="5" t="s">
        <v>63</v>
      </c>
      <c r="D10" s="4" t="s">
        <v>24</v>
      </c>
      <c r="E10" s="4" t="s">
        <v>15</v>
      </c>
      <c r="F10" s="95" t="s">
        <v>18</v>
      </c>
      <c r="G10" s="5" t="s">
        <v>20</v>
      </c>
      <c r="H10" s="4">
        <v>4008354</v>
      </c>
      <c r="I10" s="4" t="s">
        <v>12</v>
      </c>
      <c r="J10" s="6">
        <v>46066</v>
      </c>
      <c r="K10" s="26">
        <v>5.8599999999999999E-2</v>
      </c>
      <c r="L10" s="23">
        <f t="shared" si="0"/>
        <v>164298.95072618889</v>
      </c>
      <c r="M10" s="23">
        <f t="shared" si="3"/>
        <v>140957.42000000001</v>
      </c>
      <c r="N10" s="8">
        <v>43355</v>
      </c>
      <c r="O10" s="8">
        <v>46935</v>
      </c>
      <c r="P10" s="7">
        <f t="shared" si="2"/>
        <v>7</v>
      </c>
      <c r="Q10" s="8">
        <v>46935</v>
      </c>
    </row>
    <row r="11" spans="1:17" x14ac:dyDescent="0.2">
      <c r="B11" s="5" t="s">
        <v>7</v>
      </c>
      <c r="C11" s="5" t="s">
        <v>63</v>
      </c>
      <c r="D11" s="4" t="s">
        <v>24</v>
      </c>
      <c r="E11" s="4" t="s">
        <v>15</v>
      </c>
      <c r="F11" s="95" t="s">
        <v>18</v>
      </c>
      <c r="G11" s="5" t="s">
        <v>11</v>
      </c>
      <c r="H11" s="4">
        <v>4008699</v>
      </c>
      <c r="I11" s="4" t="s">
        <v>12</v>
      </c>
      <c r="J11" s="6">
        <v>46066</v>
      </c>
      <c r="K11" s="26">
        <v>5.8599999999999999E-2</v>
      </c>
      <c r="L11" s="23">
        <f t="shared" si="0"/>
        <v>36133.400166599997</v>
      </c>
      <c r="M11" s="23">
        <v>35404.769999999997</v>
      </c>
      <c r="N11" s="8">
        <v>43591</v>
      </c>
      <c r="O11" s="8">
        <v>46174</v>
      </c>
      <c r="P11" s="7">
        <f t="shared" si="2"/>
        <v>6</v>
      </c>
      <c r="Q11" s="8">
        <v>46174</v>
      </c>
    </row>
    <row r="12" spans="1:17" x14ac:dyDescent="0.2">
      <c r="B12" s="5" t="s">
        <v>7</v>
      </c>
      <c r="C12" s="5" t="s">
        <v>63</v>
      </c>
      <c r="D12" s="4" t="s">
        <v>24</v>
      </c>
      <c r="E12" s="4" t="s">
        <v>15</v>
      </c>
      <c r="F12" s="95" t="s">
        <v>18</v>
      </c>
      <c r="G12" s="5" t="s">
        <v>11</v>
      </c>
      <c r="H12" s="4">
        <v>4008917</v>
      </c>
      <c r="I12" s="4" t="s">
        <v>12</v>
      </c>
      <c r="J12" s="6">
        <v>46066</v>
      </c>
      <c r="K12" s="26">
        <v>4.87E-2</v>
      </c>
      <c r="L12" s="23">
        <f t="shared" si="0"/>
        <v>335186.18150042591</v>
      </c>
      <c r="M12" s="23">
        <f t="shared" ref="M12:M14" si="4">969210.46/3</f>
        <v>323070.15333333332</v>
      </c>
      <c r="N12" s="8">
        <v>44019</v>
      </c>
      <c r="O12" s="8">
        <v>46296</v>
      </c>
      <c r="P12" s="7">
        <f t="shared" si="2"/>
        <v>10</v>
      </c>
      <c r="Q12" s="8">
        <v>47027</v>
      </c>
    </row>
    <row r="13" spans="1:17" x14ac:dyDescent="0.2">
      <c r="B13" s="5" t="s">
        <v>7</v>
      </c>
      <c r="C13" s="5" t="s">
        <v>63</v>
      </c>
      <c r="D13" s="4" t="s">
        <v>24</v>
      </c>
      <c r="E13" s="4" t="s">
        <v>15</v>
      </c>
      <c r="F13" s="95" t="s">
        <v>18</v>
      </c>
      <c r="G13" s="5" t="s">
        <v>19</v>
      </c>
      <c r="H13" s="4">
        <v>4008917</v>
      </c>
      <c r="I13" s="4" t="s">
        <v>12</v>
      </c>
      <c r="J13" s="6">
        <v>46066</v>
      </c>
      <c r="K13" s="26">
        <v>4.87E-2</v>
      </c>
      <c r="L13" s="23">
        <f t="shared" si="0"/>
        <v>354413.79141776852</v>
      </c>
      <c r="M13" s="23">
        <f t="shared" si="4"/>
        <v>323070.15333333332</v>
      </c>
      <c r="N13" s="8">
        <v>44019</v>
      </c>
      <c r="O13" s="8">
        <v>46661</v>
      </c>
      <c r="P13" s="7">
        <f t="shared" si="2"/>
        <v>10</v>
      </c>
      <c r="Q13" s="8">
        <v>47027</v>
      </c>
    </row>
    <row r="14" spans="1:17" x14ac:dyDescent="0.2">
      <c r="B14" s="5" t="s">
        <v>7</v>
      </c>
      <c r="C14" s="5" t="s">
        <v>63</v>
      </c>
      <c r="D14" s="4" t="s">
        <v>24</v>
      </c>
      <c r="E14" s="4" t="s">
        <v>15</v>
      </c>
      <c r="F14" s="95" t="s">
        <v>18</v>
      </c>
      <c r="G14" s="5" t="s">
        <v>20</v>
      </c>
      <c r="H14" s="4">
        <v>4008917</v>
      </c>
      <c r="I14" s="4" t="s">
        <v>12</v>
      </c>
      <c r="J14" s="6">
        <v>46066</v>
      </c>
      <c r="K14" s="26">
        <v>4.87E-2</v>
      </c>
      <c r="L14" s="23">
        <f t="shared" si="0"/>
        <v>373694.07971844624</v>
      </c>
      <c r="M14" s="23">
        <f t="shared" si="4"/>
        <v>323070.15333333332</v>
      </c>
      <c r="N14" s="8">
        <v>44019</v>
      </c>
      <c r="O14" s="8">
        <v>47027</v>
      </c>
      <c r="P14" s="7">
        <f t="shared" si="2"/>
        <v>10</v>
      </c>
      <c r="Q14" s="8">
        <v>47027</v>
      </c>
    </row>
    <row r="15" spans="1:17" x14ac:dyDescent="0.2">
      <c r="B15" s="5" t="s">
        <v>7</v>
      </c>
      <c r="C15" s="5" t="s">
        <v>63</v>
      </c>
      <c r="D15" s="4" t="s">
        <v>27</v>
      </c>
      <c r="E15" s="4" t="s">
        <v>15</v>
      </c>
      <c r="F15" s="95" t="s">
        <v>18</v>
      </c>
      <c r="G15" s="5" t="s">
        <v>11</v>
      </c>
      <c r="H15" s="4">
        <v>4008921</v>
      </c>
      <c r="I15" s="4" t="s">
        <v>12</v>
      </c>
      <c r="J15" s="6">
        <v>46066</v>
      </c>
      <c r="K15" s="26">
        <v>7.4999999999999997E-2</v>
      </c>
      <c r="L15" s="23">
        <f t="shared" si="0"/>
        <v>36108.747335833337</v>
      </c>
      <c r="M15" s="23">
        <f t="shared" ref="M15:M16" si="5">69938.66/2</f>
        <v>34969.33</v>
      </c>
      <c r="N15" s="8">
        <v>44028</v>
      </c>
      <c r="O15" s="8">
        <v>46204</v>
      </c>
      <c r="P15" s="7">
        <f t="shared" si="2"/>
        <v>7</v>
      </c>
      <c r="Q15" s="8">
        <v>46569</v>
      </c>
    </row>
    <row r="16" spans="1:17" x14ac:dyDescent="0.2">
      <c r="B16" s="5" t="s">
        <v>7</v>
      </c>
      <c r="C16" s="5" t="s">
        <v>63</v>
      </c>
      <c r="D16" s="4" t="s">
        <v>27</v>
      </c>
      <c r="E16" s="4" t="s">
        <v>15</v>
      </c>
      <c r="F16" s="95" t="s">
        <v>18</v>
      </c>
      <c r="G16" s="5" t="s">
        <v>19</v>
      </c>
      <c r="H16" s="4">
        <v>4008921</v>
      </c>
      <c r="I16" s="4" t="s">
        <v>12</v>
      </c>
      <c r="J16" s="6">
        <v>46066</v>
      </c>
      <c r="K16" s="26">
        <v>7.4999999999999997E-2</v>
      </c>
      <c r="L16" s="23">
        <f t="shared" si="0"/>
        <v>39122.423622638889</v>
      </c>
      <c r="M16" s="23">
        <f t="shared" si="5"/>
        <v>34969.33</v>
      </c>
      <c r="N16" s="8">
        <v>44028</v>
      </c>
      <c r="O16" s="8">
        <v>46569</v>
      </c>
      <c r="P16" s="7">
        <f t="shared" si="2"/>
        <v>7</v>
      </c>
      <c r="Q16" s="8">
        <v>46569</v>
      </c>
    </row>
    <row r="17" spans="2:17" x14ac:dyDescent="0.2">
      <c r="B17" s="5" t="s">
        <v>7</v>
      </c>
      <c r="C17" s="5" t="s">
        <v>63</v>
      </c>
      <c r="D17" s="4" t="s">
        <v>27</v>
      </c>
      <c r="E17" s="4" t="s">
        <v>15</v>
      </c>
      <c r="F17" s="95" t="s">
        <v>18</v>
      </c>
      <c r="G17" s="5" t="s">
        <v>11</v>
      </c>
      <c r="H17" s="4">
        <v>4008924</v>
      </c>
      <c r="I17" s="4" t="s">
        <v>12</v>
      </c>
      <c r="J17" s="6">
        <v>46066</v>
      </c>
      <c r="K17" s="26">
        <v>7.4999999999999997E-2</v>
      </c>
      <c r="L17" s="23">
        <f t="shared" si="0"/>
        <v>34783.398236666661</v>
      </c>
      <c r="M17" s="23">
        <f t="shared" ref="M17:M18" si="6">67156.62/2</f>
        <v>33578.31</v>
      </c>
      <c r="N17" s="8">
        <v>44033</v>
      </c>
      <c r="O17" s="8">
        <v>46218</v>
      </c>
      <c r="P17" s="7">
        <f t="shared" si="2"/>
        <v>7</v>
      </c>
      <c r="Q17" s="8">
        <v>46583</v>
      </c>
    </row>
    <row r="18" spans="2:17" x14ac:dyDescent="0.2">
      <c r="B18" s="5" t="s">
        <v>7</v>
      </c>
      <c r="C18" s="5" t="s">
        <v>63</v>
      </c>
      <c r="D18" s="4" t="s">
        <v>27</v>
      </c>
      <c r="E18" s="4" t="s">
        <v>15</v>
      </c>
      <c r="F18" s="95" t="s">
        <v>18</v>
      </c>
      <c r="G18" s="5" t="s">
        <v>19</v>
      </c>
      <c r="H18" s="4">
        <v>4008924</v>
      </c>
      <c r="I18" s="4" t="s">
        <v>12</v>
      </c>
      <c r="J18" s="6">
        <v>46066</v>
      </c>
      <c r="K18" s="26">
        <v>7.4999999999999997E-2</v>
      </c>
      <c r="L18" s="23">
        <f t="shared" si="0"/>
        <v>37677.195647083332</v>
      </c>
      <c r="M18" s="23">
        <f t="shared" si="6"/>
        <v>33578.31</v>
      </c>
      <c r="N18" s="8">
        <v>44033</v>
      </c>
      <c r="O18" s="8">
        <v>46583</v>
      </c>
      <c r="P18" s="7">
        <f t="shared" si="2"/>
        <v>7</v>
      </c>
      <c r="Q18" s="8">
        <v>46583</v>
      </c>
    </row>
    <row r="19" spans="2:17" x14ac:dyDescent="0.2">
      <c r="B19" s="5" t="s">
        <v>7</v>
      </c>
      <c r="C19" s="5" t="s">
        <v>63</v>
      </c>
      <c r="D19" s="4" t="s">
        <v>27</v>
      </c>
      <c r="E19" s="4" t="s">
        <v>15</v>
      </c>
      <c r="F19" s="95" t="s">
        <v>18</v>
      </c>
      <c r="G19" s="5" t="s">
        <v>11</v>
      </c>
      <c r="H19" s="4">
        <v>4008926</v>
      </c>
      <c r="I19" s="4" t="s">
        <v>12</v>
      </c>
      <c r="J19" s="6">
        <v>46066</v>
      </c>
      <c r="K19" s="26">
        <v>8.5000000000000006E-2</v>
      </c>
      <c r="L19" s="23">
        <f t="shared" si="0"/>
        <v>138628.30933361111</v>
      </c>
      <c r="M19" s="23">
        <v>132709.82</v>
      </c>
      <c r="N19" s="8">
        <v>44049</v>
      </c>
      <c r="O19" s="8">
        <v>46235</v>
      </c>
      <c r="P19" s="7">
        <f t="shared" si="2"/>
        <v>8</v>
      </c>
      <c r="Q19" s="8">
        <v>46235</v>
      </c>
    </row>
    <row r="20" spans="2:17" x14ac:dyDescent="0.2">
      <c r="B20" s="34" t="s">
        <v>7</v>
      </c>
      <c r="C20" s="5" t="s">
        <v>63</v>
      </c>
      <c r="D20" s="35" t="s">
        <v>28</v>
      </c>
      <c r="E20" s="35" t="s">
        <v>15</v>
      </c>
      <c r="F20" s="96" t="s">
        <v>18</v>
      </c>
      <c r="G20" s="34" t="s">
        <v>19</v>
      </c>
      <c r="H20" s="35">
        <v>4008949</v>
      </c>
      <c r="I20" s="35" t="s">
        <v>12</v>
      </c>
      <c r="J20" s="36">
        <v>46066</v>
      </c>
      <c r="K20" s="37">
        <v>8.7499999999999994E-2</v>
      </c>
      <c r="L20" s="38">
        <f t="shared" si="0"/>
        <v>893723.12303531251</v>
      </c>
      <c r="M20" s="38">
        <f>1636324.83/2</f>
        <v>818162.41500000004</v>
      </c>
      <c r="N20" s="39">
        <v>44223</v>
      </c>
      <c r="O20" s="39">
        <v>46407</v>
      </c>
      <c r="P20" s="7">
        <f t="shared" si="2"/>
        <v>1</v>
      </c>
      <c r="Q20" s="39">
        <v>46407</v>
      </c>
    </row>
    <row r="21" spans="2:17" x14ac:dyDescent="0.2">
      <c r="B21" s="34" t="s">
        <v>7</v>
      </c>
      <c r="C21" s="5" t="s">
        <v>63</v>
      </c>
      <c r="D21" s="35" t="s">
        <v>28</v>
      </c>
      <c r="E21" s="35" t="s">
        <v>15</v>
      </c>
      <c r="F21" s="96" t="s">
        <v>18</v>
      </c>
      <c r="G21" s="34" t="s">
        <v>20</v>
      </c>
      <c r="H21" s="35">
        <v>4008949</v>
      </c>
      <c r="I21" s="35" t="s">
        <v>12</v>
      </c>
      <c r="J21" s="36">
        <v>46066</v>
      </c>
      <c r="K21" s="37">
        <v>8.7499999999999994E-2</v>
      </c>
      <c r="L21" s="38">
        <f t="shared" si="0"/>
        <v>974601.886768125</v>
      </c>
      <c r="M21" s="38">
        <f>1636324.83/2</f>
        <v>818162.41500000004</v>
      </c>
      <c r="N21" s="39">
        <v>44223</v>
      </c>
      <c r="O21" s="39">
        <v>46772</v>
      </c>
      <c r="P21" s="7">
        <f t="shared" si="2"/>
        <v>1</v>
      </c>
      <c r="Q21" s="39">
        <v>46772</v>
      </c>
    </row>
    <row r="22" spans="2:17" x14ac:dyDescent="0.2">
      <c r="B22" s="5" t="s">
        <v>7</v>
      </c>
      <c r="C22" s="5" t="s">
        <v>63</v>
      </c>
      <c r="D22" s="4" t="s">
        <v>28</v>
      </c>
      <c r="E22" s="4" t="s">
        <v>15</v>
      </c>
      <c r="F22" s="95" t="s">
        <v>18</v>
      </c>
      <c r="G22" s="5" t="s">
        <v>11</v>
      </c>
      <c r="H22" s="4">
        <v>4008953</v>
      </c>
      <c r="I22" s="4" t="s">
        <v>12</v>
      </c>
      <c r="J22" s="6">
        <v>46066</v>
      </c>
      <c r="K22" s="26">
        <v>8.7499999999999994E-2</v>
      </c>
      <c r="L22" s="23">
        <f t="shared" si="0"/>
        <v>581306.87558125006</v>
      </c>
      <c r="M22" s="23">
        <f t="shared" ref="M22:M23" si="7">1160413.8/2</f>
        <v>580206.9</v>
      </c>
      <c r="N22" s="8">
        <v>44252</v>
      </c>
      <c r="O22" s="8">
        <v>46073</v>
      </c>
      <c r="P22" s="7">
        <f t="shared" si="2"/>
        <v>2</v>
      </c>
      <c r="Q22" s="8">
        <v>46438</v>
      </c>
    </row>
    <row r="23" spans="2:17" x14ac:dyDescent="0.2">
      <c r="B23" s="5" t="s">
        <v>7</v>
      </c>
      <c r="C23" s="5" t="s">
        <v>63</v>
      </c>
      <c r="D23" s="4" t="s">
        <v>28</v>
      </c>
      <c r="E23" s="4" t="s">
        <v>15</v>
      </c>
      <c r="F23" s="95" t="s">
        <v>18</v>
      </c>
      <c r="G23" s="5" t="s">
        <v>19</v>
      </c>
      <c r="H23" s="4">
        <v>4008953</v>
      </c>
      <c r="I23" s="4" t="s">
        <v>12</v>
      </c>
      <c r="J23" s="6">
        <v>46066</v>
      </c>
      <c r="K23" s="26">
        <v>8.7499999999999994E-2</v>
      </c>
      <c r="L23" s="23">
        <f t="shared" si="0"/>
        <v>638662.74517500005</v>
      </c>
      <c r="M23" s="23">
        <f t="shared" si="7"/>
        <v>580206.9</v>
      </c>
      <c r="N23" s="8">
        <v>44252</v>
      </c>
      <c r="O23" s="8">
        <v>46438</v>
      </c>
      <c r="P23" s="7">
        <f t="shared" si="2"/>
        <v>2</v>
      </c>
      <c r="Q23" s="8">
        <v>46438</v>
      </c>
    </row>
    <row r="24" spans="2:17" x14ac:dyDescent="0.2">
      <c r="B24" s="5" t="s">
        <v>7</v>
      </c>
      <c r="C24" s="5" t="s">
        <v>63</v>
      </c>
      <c r="D24" s="4" t="s">
        <v>28</v>
      </c>
      <c r="E24" s="4" t="s">
        <v>15</v>
      </c>
      <c r="F24" s="95" t="s">
        <v>18</v>
      </c>
      <c r="G24" s="5" t="s">
        <v>11</v>
      </c>
      <c r="H24" s="4">
        <v>4008980</v>
      </c>
      <c r="I24" s="4" t="s">
        <v>12</v>
      </c>
      <c r="J24" s="6">
        <v>46066</v>
      </c>
      <c r="K24" s="26">
        <v>8.7499999999999994E-2</v>
      </c>
      <c r="L24" s="23">
        <f t="shared" si="0"/>
        <v>53091.888744791671</v>
      </c>
      <c r="M24" s="23">
        <f t="shared" ref="M24:M25" si="8">105469.66/2</f>
        <v>52734.83</v>
      </c>
      <c r="N24" s="8">
        <v>44271</v>
      </c>
      <c r="O24" s="8">
        <v>46091</v>
      </c>
      <c r="P24" s="7">
        <f t="shared" si="2"/>
        <v>3</v>
      </c>
      <c r="Q24" s="8">
        <v>46456</v>
      </c>
    </row>
    <row r="25" spans="2:17" x14ac:dyDescent="0.2">
      <c r="B25" s="5" t="s">
        <v>7</v>
      </c>
      <c r="C25" s="5" t="s">
        <v>63</v>
      </c>
      <c r="D25" s="4" t="s">
        <v>28</v>
      </c>
      <c r="E25" s="4" t="s">
        <v>15</v>
      </c>
      <c r="F25" s="95" t="s">
        <v>18</v>
      </c>
      <c r="G25" s="5" t="s">
        <v>19</v>
      </c>
      <c r="H25" s="4">
        <v>4008980</v>
      </c>
      <c r="I25" s="4" t="s">
        <v>12</v>
      </c>
      <c r="J25" s="6">
        <v>46066</v>
      </c>
      <c r="K25" s="26">
        <v>8.7499999999999994E-2</v>
      </c>
      <c r="L25" s="23">
        <f t="shared" si="0"/>
        <v>58304.946418749998</v>
      </c>
      <c r="M25" s="23">
        <f t="shared" si="8"/>
        <v>52734.83</v>
      </c>
      <c r="N25" s="8">
        <v>44271</v>
      </c>
      <c r="O25" s="8">
        <v>46456</v>
      </c>
      <c r="P25" s="7">
        <f t="shared" si="2"/>
        <v>3</v>
      </c>
      <c r="Q25" s="8">
        <v>46456</v>
      </c>
    </row>
    <row r="26" spans="2:17" x14ac:dyDescent="0.2">
      <c r="B26" s="5" t="s">
        <v>7</v>
      </c>
      <c r="C26" s="5" t="s">
        <v>63</v>
      </c>
      <c r="D26" s="4" t="s">
        <v>28</v>
      </c>
      <c r="E26" s="4" t="s">
        <v>15</v>
      </c>
      <c r="F26" s="95" t="s">
        <v>18</v>
      </c>
      <c r="G26" s="5" t="s">
        <v>11</v>
      </c>
      <c r="H26" s="4">
        <v>4009270</v>
      </c>
      <c r="I26" s="4" t="s">
        <v>12</v>
      </c>
      <c r="J26" s="6">
        <v>46066</v>
      </c>
      <c r="K26" s="26">
        <v>0.09</v>
      </c>
      <c r="L26" s="23">
        <f t="shared" si="0"/>
        <v>483762.97584074078</v>
      </c>
      <c r="M26" s="23">
        <f t="shared" ref="M26:M28" si="9">1359167.57/3</f>
        <v>453055.85666666669</v>
      </c>
      <c r="N26" s="8">
        <v>44497</v>
      </c>
      <c r="O26" s="8">
        <v>46310</v>
      </c>
      <c r="P26" s="7">
        <f t="shared" si="2"/>
        <v>10</v>
      </c>
      <c r="Q26" s="8">
        <v>47041</v>
      </c>
    </row>
    <row r="27" spans="2:17" x14ac:dyDescent="0.2">
      <c r="B27" s="5" t="s">
        <v>7</v>
      </c>
      <c r="C27" s="5" t="s">
        <v>63</v>
      </c>
      <c r="D27" s="4" t="s">
        <v>28</v>
      </c>
      <c r="E27" s="4" t="s">
        <v>15</v>
      </c>
      <c r="F27" s="95" t="s">
        <v>18</v>
      </c>
      <c r="G27" s="5" t="s">
        <v>19</v>
      </c>
      <c r="H27" s="4">
        <v>4009270</v>
      </c>
      <c r="I27" s="4" t="s">
        <v>12</v>
      </c>
      <c r="J27" s="6">
        <v>46066</v>
      </c>
      <c r="K27" s="26">
        <v>0.09</v>
      </c>
      <c r="L27" s="23">
        <f t="shared" si="0"/>
        <v>529697.80575277784</v>
      </c>
      <c r="M27" s="23">
        <f t="shared" si="9"/>
        <v>453055.85666666669</v>
      </c>
      <c r="N27" s="8">
        <v>44497</v>
      </c>
      <c r="O27" s="8">
        <v>46675</v>
      </c>
      <c r="P27" s="7">
        <f t="shared" si="2"/>
        <v>10</v>
      </c>
      <c r="Q27" s="8">
        <v>47041</v>
      </c>
    </row>
    <row r="28" spans="2:17" x14ac:dyDescent="0.2">
      <c r="B28" s="5" t="s">
        <v>7</v>
      </c>
      <c r="C28" s="5" t="s">
        <v>63</v>
      </c>
      <c r="D28" s="4" t="s">
        <v>28</v>
      </c>
      <c r="E28" s="4" t="s">
        <v>15</v>
      </c>
      <c r="F28" s="95" t="s">
        <v>18</v>
      </c>
      <c r="G28" s="5" t="s">
        <v>20</v>
      </c>
      <c r="H28" s="4">
        <v>4009270</v>
      </c>
      <c r="I28" s="4" t="s">
        <v>12</v>
      </c>
      <c r="J28" s="6">
        <v>46066</v>
      </c>
      <c r="K28" s="26">
        <v>0.09</v>
      </c>
      <c r="L28" s="23">
        <f t="shared" si="0"/>
        <v>575758.48451388895</v>
      </c>
      <c r="M28" s="23">
        <f t="shared" si="9"/>
        <v>453055.85666666669</v>
      </c>
      <c r="N28" s="8">
        <v>44497</v>
      </c>
      <c r="O28" s="8">
        <v>47041</v>
      </c>
      <c r="P28" s="7">
        <f t="shared" si="2"/>
        <v>10</v>
      </c>
      <c r="Q28" s="8">
        <v>47041</v>
      </c>
    </row>
    <row r="29" spans="2:17" x14ac:dyDescent="0.2">
      <c r="B29" s="5" t="s">
        <v>7</v>
      </c>
      <c r="C29" s="5" t="s">
        <v>63</v>
      </c>
      <c r="D29" s="4" t="s">
        <v>24</v>
      </c>
      <c r="E29" s="4" t="s">
        <v>15</v>
      </c>
      <c r="F29" s="95" t="s">
        <v>18</v>
      </c>
      <c r="G29" s="5" t="s">
        <v>11</v>
      </c>
      <c r="H29" s="4">
        <v>4009322</v>
      </c>
      <c r="I29" s="4" t="s">
        <v>12</v>
      </c>
      <c r="J29" s="6">
        <v>46066</v>
      </c>
      <c r="K29" s="26">
        <v>6.5600000000000006E-2</v>
      </c>
      <c r="L29" s="23">
        <f t="shared" si="0"/>
        <v>291687.75859525002</v>
      </c>
      <c r="M29" s="23">
        <f t="shared" ref="M29:M30" si="10">549778.55/2</f>
        <v>274889.27500000002</v>
      </c>
      <c r="N29" s="8">
        <v>44606</v>
      </c>
      <c r="O29" s="8">
        <v>46357</v>
      </c>
      <c r="P29" s="7">
        <f t="shared" si="2"/>
        <v>12</v>
      </c>
      <c r="Q29" s="8">
        <v>46722</v>
      </c>
    </row>
    <row r="30" spans="2:17" x14ac:dyDescent="0.2">
      <c r="B30" s="5" t="s">
        <v>7</v>
      </c>
      <c r="C30" s="5" t="s">
        <v>63</v>
      </c>
      <c r="D30" s="4" t="s">
        <v>24</v>
      </c>
      <c r="E30" s="4" t="s">
        <v>15</v>
      </c>
      <c r="F30" s="95" t="s">
        <v>18</v>
      </c>
      <c r="G30" s="5" t="s">
        <v>19</v>
      </c>
      <c r="H30" s="4">
        <v>4009322</v>
      </c>
      <c r="I30" s="4" t="s">
        <v>12</v>
      </c>
      <c r="J30" s="6">
        <v>46066</v>
      </c>
      <c r="K30" s="26">
        <v>6.5600000000000006E-2</v>
      </c>
      <c r="L30" s="23">
        <f t="shared" si="0"/>
        <v>312758.02152400004</v>
      </c>
      <c r="M30" s="23">
        <f t="shared" si="10"/>
        <v>274889.27500000002</v>
      </c>
      <c r="N30" s="8">
        <v>44606</v>
      </c>
      <c r="O30" s="8">
        <v>46722</v>
      </c>
      <c r="P30" s="7">
        <f t="shared" si="2"/>
        <v>12</v>
      </c>
      <c r="Q30" s="8">
        <v>46722</v>
      </c>
    </row>
    <row r="31" spans="2:17" x14ac:dyDescent="0.2">
      <c r="B31" s="5" t="s">
        <v>7</v>
      </c>
      <c r="C31" s="5" t="s">
        <v>63</v>
      </c>
      <c r="D31" s="4" t="s">
        <v>28</v>
      </c>
      <c r="E31" s="4" t="s">
        <v>15</v>
      </c>
      <c r="F31" s="95" t="s">
        <v>18</v>
      </c>
      <c r="G31" s="5" t="s">
        <v>19</v>
      </c>
      <c r="H31" s="4">
        <v>4009345</v>
      </c>
      <c r="I31" s="4" t="s">
        <v>12</v>
      </c>
      <c r="J31" s="6">
        <v>46066</v>
      </c>
      <c r="K31" s="26">
        <v>0.11600000000000001</v>
      </c>
      <c r="L31" s="23">
        <f t="shared" si="0"/>
        <v>675100.216472</v>
      </c>
      <c r="M31" s="23">
        <f t="shared" ref="M31:M33" si="11">1812187.41/3</f>
        <v>604062.47</v>
      </c>
      <c r="N31" s="8">
        <v>44586</v>
      </c>
      <c r="O31" s="8">
        <v>46402</v>
      </c>
      <c r="P31" s="7">
        <f t="shared" si="2"/>
        <v>1</v>
      </c>
      <c r="Q31" s="8">
        <v>47133</v>
      </c>
    </row>
    <row r="32" spans="2:17" s="41" customFormat="1" x14ac:dyDescent="0.2">
      <c r="B32" s="42" t="s">
        <v>7</v>
      </c>
      <c r="C32" s="5" t="s">
        <v>63</v>
      </c>
      <c r="D32" s="43" t="s">
        <v>28</v>
      </c>
      <c r="E32" s="43" t="s">
        <v>15</v>
      </c>
      <c r="F32" s="96" t="s">
        <v>18</v>
      </c>
      <c r="G32" s="42" t="s">
        <v>20</v>
      </c>
      <c r="H32" s="43">
        <v>4009345</v>
      </c>
      <c r="I32" s="43" t="s">
        <v>12</v>
      </c>
      <c r="J32" s="44">
        <v>46066</v>
      </c>
      <c r="K32" s="45">
        <v>0.11600000000000001</v>
      </c>
      <c r="L32" s="46">
        <f t="shared" si="0"/>
        <v>752269.19701449992</v>
      </c>
      <c r="M32" s="46">
        <f t="shared" si="11"/>
        <v>604062.47</v>
      </c>
      <c r="N32" s="47">
        <v>44586</v>
      </c>
      <c r="O32" s="47">
        <v>46767</v>
      </c>
      <c r="P32" s="7">
        <f t="shared" si="2"/>
        <v>1</v>
      </c>
      <c r="Q32" s="47">
        <v>47133</v>
      </c>
    </row>
    <row r="33" spans="2:17" s="41" customFormat="1" x14ac:dyDescent="0.2">
      <c r="B33" s="42" t="s">
        <v>7</v>
      </c>
      <c r="C33" s="5" t="s">
        <v>63</v>
      </c>
      <c r="D33" s="43" t="s">
        <v>28</v>
      </c>
      <c r="E33" s="43" t="s">
        <v>15</v>
      </c>
      <c r="F33" s="96" t="s">
        <v>18</v>
      </c>
      <c r="G33" s="42" t="s">
        <v>21</v>
      </c>
      <c r="H33" s="43">
        <v>4009345</v>
      </c>
      <c r="I33" s="43" t="s">
        <v>12</v>
      </c>
      <c r="J33" s="44">
        <v>46066</v>
      </c>
      <c r="K33" s="45">
        <v>0.11600000000000001</v>
      </c>
      <c r="L33" s="46">
        <f t="shared" si="0"/>
        <v>829649.5994215</v>
      </c>
      <c r="M33" s="46">
        <f t="shared" si="11"/>
        <v>604062.47</v>
      </c>
      <c r="N33" s="47">
        <v>44586</v>
      </c>
      <c r="O33" s="47">
        <v>47133</v>
      </c>
      <c r="P33" s="7">
        <f t="shared" si="2"/>
        <v>1</v>
      </c>
      <c r="Q33" s="47">
        <v>47133</v>
      </c>
    </row>
    <row r="34" spans="2:17" s="41" customFormat="1" x14ac:dyDescent="0.2">
      <c r="B34" s="42" t="s">
        <v>7</v>
      </c>
      <c r="C34" s="5" t="s">
        <v>63</v>
      </c>
      <c r="D34" s="43" t="s">
        <v>28</v>
      </c>
      <c r="E34" s="43" t="s">
        <v>15</v>
      </c>
      <c r="F34" s="96" t="s">
        <v>18</v>
      </c>
      <c r="G34" s="42" t="s">
        <v>11</v>
      </c>
      <c r="H34" s="43">
        <v>4009379</v>
      </c>
      <c r="I34" s="43" t="s">
        <v>12</v>
      </c>
      <c r="J34" s="44">
        <v>46066</v>
      </c>
      <c r="K34" s="45">
        <v>0.13450000000000001</v>
      </c>
      <c r="L34" s="46">
        <f t="shared" si="0"/>
        <v>369167.20960016671</v>
      </c>
      <c r="M34" s="46">
        <f>1441377.12/4</f>
        <v>360344.28</v>
      </c>
      <c r="N34" s="47">
        <v>44678</v>
      </c>
      <c r="O34" s="47">
        <v>46127</v>
      </c>
      <c r="P34" s="7">
        <f t="shared" si="2"/>
        <v>4</v>
      </c>
      <c r="Q34" s="47">
        <v>47223</v>
      </c>
    </row>
    <row r="35" spans="2:17" s="41" customFormat="1" x14ac:dyDescent="0.2">
      <c r="B35" s="42" t="s">
        <v>7</v>
      </c>
      <c r="C35" s="5" t="s">
        <v>63</v>
      </c>
      <c r="D35" s="43" t="s">
        <v>28</v>
      </c>
      <c r="E35" s="43" t="s">
        <v>15</v>
      </c>
      <c r="F35" s="96" t="s">
        <v>18</v>
      </c>
      <c r="G35" s="42" t="s">
        <v>19</v>
      </c>
      <c r="H35" s="43">
        <v>4009379</v>
      </c>
      <c r="I35" s="43" t="s">
        <v>12</v>
      </c>
      <c r="J35" s="44">
        <v>46066</v>
      </c>
      <c r="K35" s="45">
        <v>0.13450000000000001</v>
      </c>
      <c r="L35" s="46">
        <f t="shared" si="0"/>
        <v>421960.14901100006</v>
      </c>
      <c r="M35" s="46">
        <f t="shared" ref="M35:M37" si="12">1441377.12/4</f>
        <v>360344.28</v>
      </c>
      <c r="N35" s="47">
        <v>44678</v>
      </c>
      <c r="O35" s="47">
        <v>46492</v>
      </c>
      <c r="P35" s="7">
        <f t="shared" si="2"/>
        <v>4</v>
      </c>
      <c r="Q35" s="47">
        <v>47223</v>
      </c>
    </row>
    <row r="36" spans="2:17" s="41" customFormat="1" x14ac:dyDescent="0.2">
      <c r="B36" s="42" t="s">
        <v>7</v>
      </c>
      <c r="C36" s="5" t="s">
        <v>63</v>
      </c>
      <c r="D36" s="43" t="s">
        <v>28</v>
      </c>
      <c r="E36" s="43" t="s">
        <v>15</v>
      </c>
      <c r="F36" s="96" t="s">
        <v>18</v>
      </c>
      <c r="G36" s="42" t="s">
        <v>20</v>
      </c>
      <c r="H36" s="43">
        <v>4009379</v>
      </c>
      <c r="I36" s="43" t="s">
        <v>12</v>
      </c>
      <c r="J36" s="44">
        <v>46066</v>
      </c>
      <c r="K36" s="45">
        <v>0.13450000000000001</v>
      </c>
      <c r="L36" s="46">
        <f t="shared" si="0"/>
        <v>474897.72661200003</v>
      </c>
      <c r="M36" s="46">
        <f t="shared" si="12"/>
        <v>360344.28</v>
      </c>
      <c r="N36" s="47">
        <v>44678</v>
      </c>
      <c r="O36" s="47">
        <v>46858</v>
      </c>
      <c r="P36" s="7">
        <f t="shared" si="2"/>
        <v>4</v>
      </c>
      <c r="Q36" s="47">
        <v>47223</v>
      </c>
    </row>
    <row r="37" spans="2:17" s="41" customFormat="1" x14ac:dyDescent="0.2">
      <c r="B37" s="42" t="s">
        <v>7</v>
      </c>
      <c r="C37" s="5" t="s">
        <v>63</v>
      </c>
      <c r="D37" s="43" t="s">
        <v>28</v>
      </c>
      <c r="E37" s="43" t="s">
        <v>15</v>
      </c>
      <c r="F37" s="96" t="s">
        <v>18</v>
      </c>
      <c r="G37" s="42" t="s">
        <v>21</v>
      </c>
      <c r="H37" s="43">
        <v>4009379</v>
      </c>
      <c r="I37" s="43" t="s">
        <v>12</v>
      </c>
      <c r="J37" s="44">
        <v>46066</v>
      </c>
      <c r="K37" s="45">
        <v>0.13450000000000001</v>
      </c>
      <c r="L37" s="46">
        <f t="shared" si="0"/>
        <v>527690.66602283344</v>
      </c>
      <c r="M37" s="46">
        <f t="shared" si="12"/>
        <v>360344.28</v>
      </c>
      <c r="N37" s="47">
        <v>44678</v>
      </c>
      <c r="O37" s="47">
        <v>47223</v>
      </c>
      <c r="P37" s="7">
        <f t="shared" si="2"/>
        <v>4</v>
      </c>
      <c r="Q37" s="47">
        <v>47223</v>
      </c>
    </row>
    <row r="38" spans="2:17" x14ac:dyDescent="0.2">
      <c r="B38" s="5" t="s">
        <v>7</v>
      </c>
      <c r="C38" s="5" t="s">
        <v>63</v>
      </c>
      <c r="D38" s="4" t="s">
        <v>35</v>
      </c>
      <c r="E38" s="4" t="s">
        <v>34</v>
      </c>
      <c r="F38" s="95" t="s">
        <v>18</v>
      </c>
      <c r="G38" s="5" t="s">
        <v>11</v>
      </c>
      <c r="H38" s="4">
        <v>4855748</v>
      </c>
      <c r="I38" s="4" t="s">
        <v>12</v>
      </c>
      <c r="J38" s="6">
        <v>46066</v>
      </c>
      <c r="K38" s="26">
        <v>0.115</v>
      </c>
      <c r="L38" s="23">
        <f t="shared" ref="L38:L69" si="13">(((O38-J38)*M38*((K38+1%)/12)/30))+M38</f>
        <v>515966.60155547492</v>
      </c>
      <c r="M38" s="23">
        <v>500162.84499487304</v>
      </c>
      <c r="N38" s="8">
        <v>45736</v>
      </c>
      <c r="O38" s="8">
        <v>46157</v>
      </c>
      <c r="P38" s="7">
        <f t="shared" si="2"/>
        <v>5</v>
      </c>
      <c r="Q38" s="8">
        <v>47983</v>
      </c>
    </row>
    <row r="39" spans="2:17" x14ac:dyDescent="0.2">
      <c r="B39" s="5" t="s">
        <v>7</v>
      </c>
      <c r="C39" s="5" t="s">
        <v>63</v>
      </c>
      <c r="D39" s="4" t="s">
        <v>35</v>
      </c>
      <c r="E39" s="4" t="s">
        <v>34</v>
      </c>
      <c r="F39" s="95" t="s">
        <v>18</v>
      </c>
      <c r="G39" s="5" t="s">
        <v>19</v>
      </c>
      <c r="H39" s="4">
        <v>4855748</v>
      </c>
      <c r="I39" s="4" t="s">
        <v>12</v>
      </c>
      <c r="J39" s="6">
        <v>46066</v>
      </c>
      <c r="K39" s="26">
        <v>0.115</v>
      </c>
      <c r="L39" s="23">
        <f t="shared" si="13"/>
        <v>474404.89613240829</v>
      </c>
      <c r="M39" s="23">
        <v>409558.18371143163</v>
      </c>
      <c r="N39" s="8">
        <v>45736</v>
      </c>
      <c r="O39" s="8">
        <v>46522</v>
      </c>
      <c r="P39" s="7">
        <f t="shared" si="2"/>
        <v>5</v>
      </c>
      <c r="Q39" s="8">
        <v>47983</v>
      </c>
    </row>
    <row r="40" spans="2:17" x14ac:dyDescent="0.2">
      <c r="B40" s="5" t="s">
        <v>7</v>
      </c>
      <c r="C40" s="5" t="s">
        <v>63</v>
      </c>
      <c r="D40" s="4" t="s">
        <v>35</v>
      </c>
      <c r="E40" s="4" t="s">
        <v>34</v>
      </c>
      <c r="F40" s="95" t="s">
        <v>18</v>
      </c>
      <c r="G40" s="5" t="s">
        <v>20</v>
      </c>
      <c r="H40" s="4">
        <v>4855748</v>
      </c>
      <c r="I40" s="4" t="s">
        <v>12</v>
      </c>
      <c r="J40" s="6">
        <v>46066</v>
      </c>
      <c r="K40" s="26">
        <v>0.115</v>
      </c>
      <c r="L40" s="23">
        <f t="shared" si="13"/>
        <v>443718.53197197861</v>
      </c>
      <c r="M40" s="23">
        <v>345194.31984854088</v>
      </c>
      <c r="N40" s="8">
        <v>45736</v>
      </c>
      <c r="O40" s="8">
        <v>46888</v>
      </c>
      <c r="P40" s="7">
        <f t="shared" si="2"/>
        <v>5</v>
      </c>
      <c r="Q40" s="8">
        <v>47983</v>
      </c>
    </row>
    <row r="41" spans="2:17" x14ac:dyDescent="0.2">
      <c r="B41" s="5" t="s">
        <v>7</v>
      </c>
      <c r="C41" s="5" t="s">
        <v>63</v>
      </c>
      <c r="D41" s="4" t="s">
        <v>35</v>
      </c>
      <c r="E41" s="4" t="s">
        <v>34</v>
      </c>
      <c r="F41" s="95" t="s">
        <v>18</v>
      </c>
      <c r="G41" s="5" t="s">
        <v>21</v>
      </c>
      <c r="H41" s="4">
        <v>4855748</v>
      </c>
      <c r="I41" s="4" t="s">
        <v>12</v>
      </c>
      <c r="J41" s="6">
        <v>46066</v>
      </c>
      <c r="K41" s="26">
        <v>0.115</v>
      </c>
      <c r="L41" s="23">
        <f t="shared" si="13"/>
        <v>411109.79215531668</v>
      </c>
      <c r="M41" s="23">
        <v>291122.74438340595</v>
      </c>
      <c r="N41" s="8">
        <v>45736</v>
      </c>
      <c r="O41" s="8">
        <v>47253</v>
      </c>
      <c r="P41" s="7">
        <f t="shared" si="2"/>
        <v>5</v>
      </c>
      <c r="Q41" s="8">
        <v>47983</v>
      </c>
    </row>
    <row r="42" spans="2:17" x14ac:dyDescent="0.2">
      <c r="B42" s="5" t="s">
        <v>7</v>
      </c>
      <c r="C42" s="5" t="s">
        <v>63</v>
      </c>
      <c r="D42" s="4" t="s">
        <v>35</v>
      </c>
      <c r="E42" s="4" t="s">
        <v>34</v>
      </c>
      <c r="F42" s="95" t="s">
        <v>18</v>
      </c>
      <c r="G42" s="5" t="s">
        <v>22</v>
      </c>
      <c r="H42" s="4">
        <v>4855748</v>
      </c>
      <c r="I42" s="4" t="s">
        <v>12</v>
      </c>
      <c r="J42" s="6">
        <v>46066</v>
      </c>
      <c r="K42" s="26">
        <v>0.115</v>
      </c>
      <c r="L42" s="23">
        <f t="shared" si="13"/>
        <v>378057.56008739467</v>
      </c>
      <c r="M42" s="23">
        <v>245669.17261996763</v>
      </c>
      <c r="N42" s="8">
        <v>45736</v>
      </c>
      <c r="O42" s="8">
        <v>47618</v>
      </c>
      <c r="P42" s="7">
        <f t="shared" si="2"/>
        <v>5</v>
      </c>
      <c r="Q42" s="8">
        <v>47983</v>
      </c>
    </row>
    <row r="43" spans="2:17" x14ac:dyDescent="0.2">
      <c r="B43" s="5" t="s">
        <v>7</v>
      </c>
      <c r="C43" s="5" t="s">
        <v>63</v>
      </c>
      <c r="D43" s="4" t="s">
        <v>35</v>
      </c>
      <c r="E43" s="4" t="s">
        <v>34</v>
      </c>
      <c r="F43" s="95" t="s">
        <v>18</v>
      </c>
      <c r="G43" s="5" t="s">
        <v>23</v>
      </c>
      <c r="H43" s="4">
        <v>4855748</v>
      </c>
      <c r="I43" s="4" t="s">
        <v>12</v>
      </c>
      <c r="J43" s="6">
        <v>46066</v>
      </c>
      <c r="K43" s="26">
        <v>0.115</v>
      </c>
      <c r="L43" s="23">
        <f t="shared" si="13"/>
        <v>344340.18548458838</v>
      </c>
      <c r="M43" s="23">
        <v>206733.31961551271</v>
      </c>
      <c r="N43" s="8">
        <v>45736</v>
      </c>
      <c r="O43" s="8">
        <v>47983</v>
      </c>
      <c r="P43" s="7">
        <f t="shared" si="2"/>
        <v>5</v>
      </c>
      <c r="Q43" s="8">
        <v>47983</v>
      </c>
    </row>
    <row r="44" spans="2:17" x14ac:dyDescent="0.2">
      <c r="B44" s="5" t="s">
        <v>7</v>
      </c>
      <c r="C44" s="5" t="s">
        <v>64</v>
      </c>
      <c r="D44" s="4" t="s">
        <v>36</v>
      </c>
      <c r="E44" s="4" t="s">
        <v>37</v>
      </c>
      <c r="F44" s="95" t="s">
        <v>18</v>
      </c>
      <c r="G44" s="5" t="s">
        <v>11</v>
      </c>
      <c r="H44" s="4">
        <v>6123599</v>
      </c>
      <c r="I44" s="4" t="s">
        <v>12</v>
      </c>
      <c r="J44" s="6">
        <v>46066</v>
      </c>
      <c r="K44" s="26">
        <v>8.0500000000000002E-2</v>
      </c>
      <c r="L44" s="23">
        <f t="shared" si="13"/>
        <v>2714730.2091637016</v>
      </c>
      <c r="M44" s="23">
        <f t="shared" ref="M44" si="14">14839523/5.2*5.3/6</f>
        <v>2520816.407051282</v>
      </c>
      <c r="N44" s="8">
        <v>45184</v>
      </c>
      <c r="O44" s="8">
        <v>46372</v>
      </c>
      <c r="P44" s="7">
        <f t="shared" si="2"/>
        <v>12</v>
      </c>
      <c r="Q44" s="8">
        <v>47771</v>
      </c>
    </row>
    <row r="45" spans="2:17" x14ac:dyDescent="0.2">
      <c r="B45" s="5" t="s">
        <v>7</v>
      </c>
      <c r="C45" s="5" t="s">
        <v>64</v>
      </c>
      <c r="D45" s="4" t="s">
        <v>36</v>
      </c>
      <c r="E45" s="4" t="s">
        <v>37</v>
      </c>
      <c r="F45" s="95" t="s">
        <v>18</v>
      </c>
      <c r="G45" s="5" t="s">
        <v>11</v>
      </c>
      <c r="H45" s="4">
        <v>6123599</v>
      </c>
      <c r="I45" s="4" t="s">
        <v>12</v>
      </c>
      <c r="J45" s="6">
        <v>46066</v>
      </c>
      <c r="K45" s="26">
        <v>8.0500000000000002E-2</v>
      </c>
      <c r="L45" s="23">
        <f t="shared" si="13"/>
        <v>2776400.5028376956</v>
      </c>
      <c r="M45" s="23">
        <f>14839523/5.2*5.5/6</f>
        <v>2615941.5544871795</v>
      </c>
      <c r="N45" s="8">
        <v>45184</v>
      </c>
      <c r="O45" s="8">
        <v>46310</v>
      </c>
      <c r="P45" s="7">
        <f t="shared" si="2"/>
        <v>10</v>
      </c>
      <c r="Q45" s="8">
        <v>47771</v>
      </c>
    </row>
    <row r="46" spans="2:17" x14ac:dyDescent="0.2">
      <c r="B46" s="5" t="s">
        <v>7</v>
      </c>
      <c r="C46" s="5" t="s">
        <v>64</v>
      </c>
      <c r="D46" s="4" t="s">
        <v>36</v>
      </c>
      <c r="E46" s="4" t="s">
        <v>37</v>
      </c>
      <c r="F46" s="95" t="s">
        <v>18</v>
      </c>
      <c r="G46" s="5" t="s">
        <v>19</v>
      </c>
      <c r="H46" s="4">
        <v>6123599</v>
      </c>
      <c r="I46" s="4" t="s">
        <v>12</v>
      </c>
      <c r="J46" s="6">
        <v>46066</v>
      </c>
      <c r="K46" s="26">
        <v>8.0500000000000002E-2</v>
      </c>
      <c r="L46" s="23">
        <f t="shared" si="13"/>
        <v>3016431.3067226894</v>
      </c>
      <c r="M46" s="23">
        <f t="shared" ref="M46:M49" si="15">14839523/5.2*5.5/6</f>
        <v>2615941.5544871795</v>
      </c>
      <c r="N46" s="8">
        <v>45184</v>
      </c>
      <c r="O46" s="8">
        <v>46675</v>
      </c>
      <c r="P46" s="7">
        <f t="shared" si="2"/>
        <v>10</v>
      </c>
      <c r="Q46" s="8">
        <v>47771</v>
      </c>
    </row>
    <row r="47" spans="2:17" x14ac:dyDescent="0.2">
      <c r="B47" s="5" t="s">
        <v>7</v>
      </c>
      <c r="C47" s="5" t="s">
        <v>64</v>
      </c>
      <c r="D47" s="4" t="s">
        <v>36</v>
      </c>
      <c r="E47" s="4" t="s">
        <v>37</v>
      </c>
      <c r="F47" s="95" t="s">
        <v>18</v>
      </c>
      <c r="G47" s="5" t="s">
        <v>20</v>
      </c>
      <c r="H47" s="4">
        <v>6123599</v>
      </c>
      <c r="I47" s="4" t="s">
        <v>12</v>
      </c>
      <c r="J47" s="6">
        <v>46066</v>
      </c>
      <c r="K47" s="26">
        <v>8.0500000000000002E-2</v>
      </c>
      <c r="L47" s="23">
        <f t="shared" si="13"/>
        <v>3257119.7292484641</v>
      </c>
      <c r="M47" s="23">
        <f t="shared" si="15"/>
        <v>2615941.5544871795</v>
      </c>
      <c r="N47" s="8">
        <v>45184</v>
      </c>
      <c r="O47" s="8">
        <v>47041</v>
      </c>
      <c r="P47" s="7">
        <f t="shared" si="2"/>
        <v>10</v>
      </c>
      <c r="Q47" s="8">
        <v>47771</v>
      </c>
    </row>
    <row r="48" spans="2:17" x14ac:dyDescent="0.2">
      <c r="B48" s="5" t="s">
        <v>7</v>
      </c>
      <c r="C48" s="5" t="s">
        <v>64</v>
      </c>
      <c r="D48" s="4" t="s">
        <v>36</v>
      </c>
      <c r="E48" s="4" t="s">
        <v>37</v>
      </c>
      <c r="F48" s="95" t="s">
        <v>18</v>
      </c>
      <c r="G48" s="5" t="s">
        <v>21</v>
      </c>
      <c r="H48" s="4">
        <v>6123599</v>
      </c>
      <c r="I48" s="4" t="s">
        <v>12</v>
      </c>
      <c r="J48" s="6">
        <v>46066</v>
      </c>
      <c r="K48" s="26">
        <v>8.0500000000000002E-2</v>
      </c>
      <c r="L48" s="23">
        <f t="shared" si="13"/>
        <v>3497150.5331334579</v>
      </c>
      <c r="M48" s="23">
        <f t="shared" si="15"/>
        <v>2615941.5544871795</v>
      </c>
      <c r="N48" s="8">
        <v>45184</v>
      </c>
      <c r="O48" s="8">
        <v>47406</v>
      </c>
      <c r="P48" s="7">
        <f t="shared" si="2"/>
        <v>10</v>
      </c>
      <c r="Q48" s="8">
        <v>47771</v>
      </c>
    </row>
    <row r="49" spans="2:17" x14ac:dyDescent="0.2">
      <c r="B49" s="5" t="s">
        <v>7</v>
      </c>
      <c r="C49" s="5" t="s">
        <v>64</v>
      </c>
      <c r="D49" s="4" t="s">
        <v>36</v>
      </c>
      <c r="E49" s="4" t="s">
        <v>37</v>
      </c>
      <c r="F49" s="95" t="s">
        <v>18</v>
      </c>
      <c r="G49" s="5" t="s">
        <v>22</v>
      </c>
      <c r="H49" s="4">
        <v>6123599</v>
      </c>
      <c r="I49" s="4" t="s">
        <v>12</v>
      </c>
      <c r="J49" s="6">
        <v>46066</v>
      </c>
      <c r="K49" s="26">
        <v>8.0500000000000002E-2</v>
      </c>
      <c r="L49" s="23">
        <f t="shared" si="13"/>
        <v>3737181.3370184517</v>
      </c>
      <c r="M49" s="23">
        <f t="shared" si="15"/>
        <v>2615941.5544871795</v>
      </c>
      <c r="N49" s="8">
        <v>45184</v>
      </c>
      <c r="O49" s="8">
        <v>47771</v>
      </c>
      <c r="P49" s="7">
        <f t="shared" si="2"/>
        <v>10</v>
      </c>
      <c r="Q49" s="8">
        <v>47771</v>
      </c>
    </row>
    <row r="50" spans="2:17" x14ac:dyDescent="0.2">
      <c r="B50" s="5" t="s">
        <v>7</v>
      </c>
      <c r="C50" s="5" t="s">
        <v>64</v>
      </c>
      <c r="D50" s="4" t="s">
        <v>36</v>
      </c>
      <c r="E50" s="4" t="s">
        <v>37</v>
      </c>
      <c r="F50" s="95" t="s">
        <v>18</v>
      </c>
      <c r="G50" s="5" t="s">
        <v>11</v>
      </c>
      <c r="H50" s="4">
        <v>6125411</v>
      </c>
      <c r="I50" s="72" t="s">
        <v>12</v>
      </c>
      <c r="J50" s="6">
        <v>46066</v>
      </c>
      <c r="K50" s="26">
        <v>8.0500000000000002E-2</v>
      </c>
      <c r="L50" s="23">
        <f t="shared" si="13"/>
        <v>1586728.1233788459</v>
      </c>
      <c r="M50" s="23">
        <f t="shared" ref="M50" si="16">8673528/5.2*5.3/6</f>
        <v>1473387.769230769</v>
      </c>
      <c r="N50" s="8">
        <v>45184</v>
      </c>
      <c r="O50" s="8">
        <v>46372</v>
      </c>
      <c r="P50" s="7">
        <f t="shared" si="2"/>
        <v>12</v>
      </c>
      <c r="Q50" s="8">
        <v>47771</v>
      </c>
    </row>
    <row r="51" spans="2:17" x14ac:dyDescent="0.2">
      <c r="B51" s="5" t="s">
        <v>7</v>
      </c>
      <c r="C51" s="5" t="s">
        <v>64</v>
      </c>
      <c r="D51" s="4" t="s">
        <v>36</v>
      </c>
      <c r="E51" s="4" t="s">
        <v>37</v>
      </c>
      <c r="F51" s="95" t="s">
        <v>18</v>
      </c>
      <c r="G51" s="5" t="s">
        <v>11</v>
      </c>
      <c r="H51" s="4">
        <v>6125411</v>
      </c>
      <c r="I51" s="72" t="s">
        <v>12</v>
      </c>
      <c r="J51" s="6">
        <v>46066</v>
      </c>
      <c r="K51" s="26">
        <v>8.0500000000000002E-2</v>
      </c>
      <c r="L51" s="23">
        <f t="shared" si="13"/>
        <v>1622773.6902713676</v>
      </c>
      <c r="M51" s="23">
        <f>8673528/5.2*5.5/6</f>
        <v>1528987.3076923077</v>
      </c>
      <c r="N51" s="8">
        <v>45184</v>
      </c>
      <c r="O51" s="8">
        <v>46310</v>
      </c>
      <c r="P51" s="7">
        <f t="shared" si="2"/>
        <v>10</v>
      </c>
      <c r="Q51" s="8">
        <v>47771</v>
      </c>
    </row>
    <row r="52" spans="2:17" x14ac:dyDescent="0.2">
      <c r="B52" s="5" t="s">
        <v>7</v>
      </c>
      <c r="C52" s="5" t="s">
        <v>64</v>
      </c>
      <c r="D52" s="4" t="s">
        <v>36</v>
      </c>
      <c r="E52" s="4" t="s">
        <v>37</v>
      </c>
      <c r="F52" s="95" t="s">
        <v>18</v>
      </c>
      <c r="G52" s="5" t="s">
        <v>19</v>
      </c>
      <c r="H52" s="4">
        <v>6125411</v>
      </c>
      <c r="I52" s="72" t="s">
        <v>12</v>
      </c>
      <c r="J52" s="6">
        <v>46066</v>
      </c>
      <c r="K52" s="26">
        <v>8.0500000000000002E-2</v>
      </c>
      <c r="L52" s="23">
        <f t="shared" si="13"/>
        <v>1763068.8937195514</v>
      </c>
      <c r="M52" s="23">
        <f t="shared" ref="M52:M55" si="17">8673528/5.2*5.5/6</f>
        <v>1528987.3076923077</v>
      </c>
      <c r="N52" s="8">
        <v>45184</v>
      </c>
      <c r="O52" s="8">
        <v>46675</v>
      </c>
      <c r="P52" s="7">
        <f t="shared" si="2"/>
        <v>10</v>
      </c>
      <c r="Q52" s="8">
        <v>47771</v>
      </c>
    </row>
    <row r="53" spans="2:17" x14ac:dyDescent="0.2">
      <c r="B53" s="5" t="s">
        <v>7</v>
      </c>
      <c r="C53" s="5" t="s">
        <v>64</v>
      </c>
      <c r="D53" s="4" t="s">
        <v>36</v>
      </c>
      <c r="E53" s="4" t="s">
        <v>37</v>
      </c>
      <c r="F53" s="95" t="s">
        <v>18</v>
      </c>
      <c r="G53" s="5" t="s">
        <v>20</v>
      </c>
      <c r="H53" s="4">
        <v>6125411</v>
      </c>
      <c r="I53" s="72" t="s">
        <v>12</v>
      </c>
      <c r="J53" s="6">
        <v>46066</v>
      </c>
      <c r="K53" s="26">
        <v>8.0500000000000002E-2</v>
      </c>
      <c r="L53" s="23">
        <f t="shared" si="13"/>
        <v>1903748.4675881411</v>
      </c>
      <c r="M53" s="23">
        <f t="shared" si="17"/>
        <v>1528987.3076923077</v>
      </c>
      <c r="N53" s="8">
        <v>45184</v>
      </c>
      <c r="O53" s="8">
        <v>47041</v>
      </c>
      <c r="P53" s="7">
        <f t="shared" si="2"/>
        <v>10</v>
      </c>
      <c r="Q53" s="8">
        <v>47771</v>
      </c>
    </row>
    <row r="54" spans="2:17" x14ac:dyDescent="0.2">
      <c r="B54" s="5" t="s">
        <v>7</v>
      </c>
      <c r="C54" s="5" t="s">
        <v>64</v>
      </c>
      <c r="D54" s="4" t="s">
        <v>36</v>
      </c>
      <c r="E54" s="4" t="s">
        <v>37</v>
      </c>
      <c r="F54" s="95" t="s">
        <v>18</v>
      </c>
      <c r="G54" s="5" t="s">
        <v>21</v>
      </c>
      <c r="H54" s="4">
        <v>6125411</v>
      </c>
      <c r="I54" s="72" t="s">
        <v>12</v>
      </c>
      <c r="J54" s="6">
        <v>46066</v>
      </c>
      <c r="K54" s="26">
        <v>8.0500000000000002E-2</v>
      </c>
      <c r="L54" s="23">
        <f t="shared" si="13"/>
        <v>2044043.6710363249</v>
      </c>
      <c r="M54" s="23">
        <f t="shared" si="17"/>
        <v>1528987.3076923077</v>
      </c>
      <c r="N54" s="8">
        <v>45184</v>
      </c>
      <c r="O54" s="8">
        <v>47406</v>
      </c>
      <c r="P54" s="7">
        <f t="shared" si="2"/>
        <v>10</v>
      </c>
      <c r="Q54" s="8">
        <v>47771</v>
      </c>
    </row>
    <row r="55" spans="2:17" x14ac:dyDescent="0.2">
      <c r="B55" s="5" t="s">
        <v>7</v>
      </c>
      <c r="C55" s="5" t="s">
        <v>64</v>
      </c>
      <c r="D55" s="4" t="s">
        <v>36</v>
      </c>
      <c r="E55" s="4" t="s">
        <v>37</v>
      </c>
      <c r="F55" s="95" t="s">
        <v>18</v>
      </c>
      <c r="G55" s="5" t="s">
        <v>22</v>
      </c>
      <c r="H55" s="4">
        <v>6125411</v>
      </c>
      <c r="I55" s="72" t="s">
        <v>12</v>
      </c>
      <c r="J55" s="6">
        <v>46066</v>
      </c>
      <c r="K55" s="26">
        <v>8.0500000000000002E-2</v>
      </c>
      <c r="L55" s="23">
        <f t="shared" si="13"/>
        <v>2184338.8744845083</v>
      </c>
      <c r="M55" s="23">
        <f t="shared" si="17"/>
        <v>1528987.3076923077</v>
      </c>
      <c r="N55" s="8">
        <v>45184</v>
      </c>
      <c r="O55" s="8">
        <v>47771</v>
      </c>
      <c r="P55" s="7">
        <f t="shared" si="2"/>
        <v>10</v>
      </c>
      <c r="Q55" s="8">
        <v>47771</v>
      </c>
    </row>
    <row r="56" spans="2:17" s="41" customFormat="1" x14ac:dyDescent="0.2">
      <c r="B56" s="42" t="s">
        <v>7</v>
      </c>
      <c r="C56" s="5" t="s">
        <v>63</v>
      </c>
      <c r="D56" s="42" t="s">
        <v>31</v>
      </c>
      <c r="E56" s="42" t="s">
        <v>15</v>
      </c>
      <c r="F56" s="97" t="s">
        <v>18</v>
      </c>
      <c r="G56" s="48" t="s">
        <v>11</v>
      </c>
      <c r="H56" s="42">
        <v>130808134</v>
      </c>
      <c r="I56" s="48" t="s">
        <v>32</v>
      </c>
      <c r="J56" s="44">
        <v>46066</v>
      </c>
      <c r="K56" s="49">
        <v>0.13800000000000001</v>
      </c>
      <c r="L56" s="46">
        <f t="shared" si="13"/>
        <v>362547.85547875002</v>
      </c>
      <c r="M56" s="50">
        <f t="shared" ref="M56:M59" si="18">1358069.07/4</f>
        <v>339517.26750000002</v>
      </c>
      <c r="N56" s="51">
        <v>45884</v>
      </c>
      <c r="O56" s="51">
        <v>46231</v>
      </c>
      <c r="P56" s="7">
        <f t="shared" si="2"/>
        <v>7</v>
      </c>
      <c r="Q56" s="51">
        <v>47327</v>
      </c>
    </row>
    <row r="57" spans="2:17" s="41" customFormat="1" x14ac:dyDescent="0.2">
      <c r="B57" s="42" t="s">
        <v>7</v>
      </c>
      <c r="C57" s="5" t="s">
        <v>63</v>
      </c>
      <c r="D57" s="42" t="s">
        <v>31</v>
      </c>
      <c r="E57" s="42" t="s">
        <v>15</v>
      </c>
      <c r="F57" s="97" t="s">
        <v>18</v>
      </c>
      <c r="G57" s="48" t="s">
        <v>19</v>
      </c>
      <c r="H57" s="42">
        <v>130808134</v>
      </c>
      <c r="I57" s="48" t="s">
        <v>32</v>
      </c>
      <c r="J57" s="44">
        <v>46066</v>
      </c>
      <c r="K57" s="49">
        <v>0.13800000000000001</v>
      </c>
      <c r="L57" s="46">
        <f t="shared" si="13"/>
        <v>413494.30767416669</v>
      </c>
      <c r="M57" s="50">
        <f t="shared" si="18"/>
        <v>339517.26750000002</v>
      </c>
      <c r="N57" s="51">
        <v>45884</v>
      </c>
      <c r="O57" s="51">
        <v>46596</v>
      </c>
      <c r="P57" s="7">
        <f t="shared" si="2"/>
        <v>7</v>
      </c>
      <c r="Q57" s="51">
        <v>47327</v>
      </c>
    </row>
    <row r="58" spans="2:17" s="41" customFormat="1" x14ac:dyDescent="0.2">
      <c r="B58" s="42" t="s">
        <v>7</v>
      </c>
      <c r="C58" s="5" t="s">
        <v>63</v>
      </c>
      <c r="D58" s="42" t="s">
        <v>31</v>
      </c>
      <c r="E58" s="42" t="s">
        <v>15</v>
      </c>
      <c r="F58" s="97" t="s">
        <v>18</v>
      </c>
      <c r="G58" s="48" t="s">
        <v>20</v>
      </c>
      <c r="H58" s="42">
        <v>130808134</v>
      </c>
      <c r="I58" s="48" t="s">
        <v>32</v>
      </c>
      <c r="J58" s="44">
        <v>46066</v>
      </c>
      <c r="K58" s="49">
        <v>0.13800000000000001</v>
      </c>
      <c r="L58" s="46">
        <f t="shared" si="13"/>
        <v>464580.33919066668</v>
      </c>
      <c r="M58" s="50">
        <f t="shared" si="18"/>
        <v>339517.26750000002</v>
      </c>
      <c r="N58" s="51">
        <v>45884</v>
      </c>
      <c r="O58" s="51">
        <v>46962</v>
      </c>
      <c r="P58" s="7">
        <f t="shared" si="2"/>
        <v>7</v>
      </c>
      <c r="Q58" s="51">
        <v>47327</v>
      </c>
    </row>
    <row r="59" spans="2:17" s="41" customFormat="1" x14ac:dyDescent="0.2">
      <c r="B59" s="42" t="s">
        <v>7</v>
      </c>
      <c r="C59" s="5" t="s">
        <v>63</v>
      </c>
      <c r="D59" s="42" t="s">
        <v>31</v>
      </c>
      <c r="E59" s="42" t="s">
        <v>15</v>
      </c>
      <c r="F59" s="97" t="s">
        <v>18</v>
      </c>
      <c r="G59" s="48" t="s">
        <v>21</v>
      </c>
      <c r="H59" s="42">
        <v>130808134</v>
      </c>
      <c r="I59" s="48" t="s">
        <v>32</v>
      </c>
      <c r="J59" s="44">
        <v>46066</v>
      </c>
      <c r="K59" s="49">
        <v>0.13800000000000001</v>
      </c>
      <c r="L59" s="46">
        <f t="shared" si="13"/>
        <v>515526.79138608335</v>
      </c>
      <c r="M59" s="50">
        <f t="shared" si="18"/>
        <v>339517.26750000002</v>
      </c>
      <c r="N59" s="51">
        <v>45884</v>
      </c>
      <c r="O59" s="51">
        <v>47327</v>
      </c>
      <c r="P59" s="7">
        <f t="shared" si="2"/>
        <v>7</v>
      </c>
      <c r="Q59" s="51">
        <v>47327</v>
      </c>
    </row>
    <row r="60" spans="2:17" s="41" customFormat="1" x14ac:dyDescent="0.2">
      <c r="B60" s="42" t="s">
        <v>7</v>
      </c>
      <c r="C60" s="5" t="s">
        <v>63</v>
      </c>
      <c r="D60" s="42" t="s">
        <v>38</v>
      </c>
      <c r="E60" s="42" t="s">
        <v>15</v>
      </c>
      <c r="F60" s="42" t="s">
        <v>10</v>
      </c>
      <c r="G60" s="42" t="s">
        <v>11</v>
      </c>
      <c r="H60" s="42">
        <v>130808809</v>
      </c>
      <c r="I60" s="42" t="s">
        <v>39</v>
      </c>
      <c r="J60" s="44">
        <v>46066</v>
      </c>
      <c r="K60" s="52">
        <v>0.17349999999999999</v>
      </c>
      <c r="L60" s="46">
        <f t="shared" si="13"/>
        <v>3016228.332615972</v>
      </c>
      <c r="M60" s="50">
        <v>2906593.25</v>
      </c>
      <c r="N60" s="47">
        <v>45735</v>
      </c>
      <c r="O60" s="47">
        <v>46140</v>
      </c>
      <c r="P60" s="7">
        <f t="shared" si="2"/>
        <v>4</v>
      </c>
      <c r="Q60" s="44">
        <v>46140</v>
      </c>
    </row>
    <row r="61" spans="2:17" s="41" customFormat="1" x14ac:dyDescent="0.2">
      <c r="B61" s="42" t="s">
        <v>7</v>
      </c>
      <c r="C61" s="5" t="s">
        <v>63</v>
      </c>
      <c r="D61" s="42" t="s">
        <v>31</v>
      </c>
      <c r="E61" s="42" t="s">
        <v>15</v>
      </c>
      <c r="F61" s="97" t="s">
        <v>18</v>
      </c>
      <c r="G61" s="48" t="s">
        <v>11</v>
      </c>
      <c r="H61" s="42">
        <v>130808490</v>
      </c>
      <c r="I61" s="48" t="s">
        <v>32</v>
      </c>
      <c r="J61" s="44">
        <v>46066</v>
      </c>
      <c r="K61" s="49">
        <v>0.13800000000000001</v>
      </c>
      <c r="L61" s="46">
        <f t="shared" si="13"/>
        <v>675324.21819666668</v>
      </c>
      <c r="M61" s="50">
        <f t="shared" ref="M61:M64" si="19">2529698.96/4</f>
        <v>632424.74</v>
      </c>
      <c r="N61" s="51">
        <v>45884</v>
      </c>
      <c r="O61" s="51">
        <v>46231</v>
      </c>
      <c r="P61" s="7">
        <f t="shared" si="2"/>
        <v>7</v>
      </c>
      <c r="Q61" s="51">
        <v>46231</v>
      </c>
    </row>
    <row r="62" spans="2:17" s="41" customFormat="1" x14ac:dyDescent="0.2">
      <c r="B62" s="42" t="s">
        <v>7</v>
      </c>
      <c r="C62" s="5" t="s">
        <v>63</v>
      </c>
      <c r="D62" s="42" t="s">
        <v>31</v>
      </c>
      <c r="E62" s="42" t="s">
        <v>15</v>
      </c>
      <c r="F62" s="97" t="s">
        <v>18</v>
      </c>
      <c r="G62" s="48" t="s">
        <v>19</v>
      </c>
      <c r="H62" s="42">
        <v>130808490</v>
      </c>
      <c r="I62" s="48" t="s">
        <v>32</v>
      </c>
      <c r="J62" s="44">
        <v>46066</v>
      </c>
      <c r="K62" s="49">
        <v>0.13800000000000001</v>
      </c>
      <c r="L62" s="46">
        <f t="shared" si="13"/>
        <v>770223.06390444445</v>
      </c>
      <c r="M62" s="50">
        <f t="shared" si="19"/>
        <v>632424.74</v>
      </c>
      <c r="N62" s="51">
        <v>45884</v>
      </c>
      <c r="O62" s="51">
        <v>46596</v>
      </c>
      <c r="P62" s="7">
        <f t="shared" si="2"/>
        <v>7</v>
      </c>
      <c r="Q62" s="51">
        <v>46596</v>
      </c>
    </row>
    <row r="63" spans="2:17" s="41" customFormat="1" x14ac:dyDescent="0.2">
      <c r="B63" s="42" t="s">
        <v>7</v>
      </c>
      <c r="C63" s="5" t="s">
        <v>63</v>
      </c>
      <c r="D63" s="42" t="s">
        <v>31</v>
      </c>
      <c r="E63" s="42" t="s">
        <v>15</v>
      </c>
      <c r="F63" s="97" t="s">
        <v>18</v>
      </c>
      <c r="G63" s="48" t="s">
        <v>20</v>
      </c>
      <c r="H63" s="42">
        <v>130808490</v>
      </c>
      <c r="I63" s="48" t="s">
        <v>32</v>
      </c>
      <c r="J63" s="44">
        <v>46066</v>
      </c>
      <c r="K63" s="49">
        <v>0.13800000000000001</v>
      </c>
      <c r="L63" s="46">
        <f t="shared" si="13"/>
        <v>865381.90644977777</v>
      </c>
      <c r="M63" s="50">
        <f t="shared" si="19"/>
        <v>632424.74</v>
      </c>
      <c r="N63" s="51">
        <v>45884</v>
      </c>
      <c r="O63" s="51">
        <v>46962</v>
      </c>
      <c r="P63" s="7">
        <f t="shared" si="2"/>
        <v>7</v>
      </c>
      <c r="Q63" s="51">
        <v>46962</v>
      </c>
    </row>
    <row r="64" spans="2:17" s="41" customFormat="1" x14ac:dyDescent="0.2">
      <c r="B64" s="42" t="s">
        <v>7</v>
      </c>
      <c r="C64" s="5" t="s">
        <v>63</v>
      </c>
      <c r="D64" s="42" t="s">
        <v>31</v>
      </c>
      <c r="E64" s="42" t="s">
        <v>15</v>
      </c>
      <c r="F64" s="97" t="s">
        <v>18</v>
      </c>
      <c r="G64" s="48" t="s">
        <v>21</v>
      </c>
      <c r="H64" s="42">
        <v>130808490</v>
      </c>
      <c r="I64" s="48" t="s">
        <v>32</v>
      </c>
      <c r="J64" s="44">
        <v>46066</v>
      </c>
      <c r="K64" s="49">
        <v>0.13800000000000001</v>
      </c>
      <c r="L64" s="46">
        <f t="shared" si="13"/>
        <v>960280.75215755566</v>
      </c>
      <c r="M64" s="50">
        <f t="shared" si="19"/>
        <v>632424.74</v>
      </c>
      <c r="N64" s="51">
        <v>45884</v>
      </c>
      <c r="O64" s="51">
        <v>47327</v>
      </c>
      <c r="P64" s="7">
        <f t="shared" si="2"/>
        <v>7</v>
      </c>
      <c r="Q64" s="51">
        <v>47327</v>
      </c>
    </row>
    <row r="65" spans="2:17" s="41" customFormat="1" x14ac:dyDescent="0.2">
      <c r="B65" s="42" t="s">
        <v>7</v>
      </c>
      <c r="C65" s="5" t="s">
        <v>63</v>
      </c>
      <c r="D65" s="42" t="s">
        <v>31</v>
      </c>
      <c r="E65" s="42" t="s">
        <v>15</v>
      </c>
      <c r="F65" s="97" t="s">
        <v>18</v>
      </c>
      <c r="G65" s="48" t="s">
        <v>11</v>
      </c>
      <c r="H65" s="42">
        <v>130808651</v>
      </c>
      <c r="I65" s="48" t="s">
        <v>32</v>
      </c>
      <c r="J65" s="44">
        <v>46066</v>
      </c>
      <c r="K65" s="49">
        <v>0.12</v>
      </c>
      <c r="L65" s="46">
        <f t="shared" si="13"/>
        <v>302188.00119791669</v>
      </c>
      <c r="M65" s="50">
        <f t="shared" ref="M65:M66" si="20">570390.25/2</f>
        <v>285195.125</v>
      </c>
      <c r="N65" s="51">
        <v>45884</v>
      </c>
      <c r="O65" s="51">
        <v>46231</v>
      </c>
      <c r="P65" s="7">
        <f t="shared" si="2"/>
        <v>7</v>
      </c>
      <c r="Q65" s="51">
        <v>46231</v>
      </c>
    </row>
    <row r="66" spans="2:17" s="41" customFormat="1" x14ac:dyDescent="0.2">
      <c r="B66" s="42" t="s">
        <v>7</v>
      </c>
      <c r="C66" s="5" t="s">
        <v>63</v>
      </c>
      <c r="D66" s="42" t="s">
        <v>31</v>
      </c>
      <c r="E66" s="42" t="s">
        <v>15</v>
      </c>
      <c r="F66" s="97" t="s">
        <v>18</v>
      </c>
      <c r="G66" s="48" t="s">
        <v>19</v>
      </c>
      <c r="H66" s="42">
        <v>130808651</v>
      </c>
      <c r="I66" s="48" t="s">
        <v>32</v>
      </c>
      <c r="J66" s="44">
        <v>46066</v>
      </c>
      <c r="K66" s="49">
        <v>0.12</v>
      </c>
      <c r="L66" s="46">
        <f t="shared" si="13"/>
        <v>339778.30309027777</v>
      </c>
      <c r="M66" s="50">
        <f t="shared" si="20"/>
        <v>285195.125</v>
      </c>
      <c r="N66" s="51">
        <v>45884</v>
      </c>
      <c r="O66" s="51">
        <v>46596</v>
      </c>
      <c r="P66" s="7">
        <f t="shared" si="2"/>
        <v>7</v>
      </c>
      <c r="Q66" s="51">
        <v>46596</v>
      </c>
    </row>
    <row r="67" spans="2:17" s="41" customFormat="1" x14ac:dyDescent="0.2">
      <c r="B67" s="42" t="s">
        <v>7</v>
      </c>
      <c r="C67" s="5" t="s">
        <v>63</v>
      </c>
      <c r="D67" s="42" t="s">
        <v>31</v>
      </c>
      <c r="E67" s="42" t="s">
        <v>15</v>
      </c>
      <c r="F67" s="97" t="s">
        <v>18</v>
      </c>
      <c r="G67" s="48" t="s">
        <v>11</v>
      </c>
      <c r="H67" s="42">
        <v>130808656</v>
      </c>
      <c r="I67" s="48" t="s">
        <v>32</v>
      </c>
      <c r="J67" s="44">
        <v>46066</v>
      </c>
      <c r="K67" s="49">
        <v>0.12</v>
      </c>
      <c r="L67" s="46">
        <f t="shared" si="13"/>
        <v>133946.44034270835</v>
      </c>
      <c r="M67" s="50">
        <f t="shared" ref="M67:M70" si="21">505657.03/4</f>
        <v>126414.25750000001</v>
      </c>
      <c r="N67" s="51">
        <v>45884</v>
      </c>
      <c r="O67" s="51">
        <v>46231</v>
      </c>
      <c r="P67" s="7">
        <f t="shared" si="2"/>
        <v>7</v>
      </c>
      <c r="Q67" s="51">
        <v>46231</v>
      </c>
    </row>
    <row r="68" spans="2:17" s="41" customFormat="1" x14ac:dyDescent="0.2">
      <c r="B68" s="42" t="s">
        <v>7</v>
      </c>
      <c r="C68" s="5" t="s">
        <v>63</v>
      </c>
      <c r="D68" s="42" t="s">
        <v>31</v>
      </c>
      <c r="E68" s="42" t="s">
        <v>15</v>
      </c>
      <c r="F68" s="97" t="s">
        <v>18</v>
      </c>
      <c r="G68" s="48" t="s">
        <v>19</v>
      </c>
      <c r="H68" s="42">
        <v>130808656</v>
      </c>
      <c r="I68" s="48" t="s">
        <v>32</v>
      </c>
      <c r="J68" s="44">
        <v>46066</v>
      </c>
      <c r="K68" s="49">
        <v>0.12</v>
      </c>
      <c r="L68" s="46">
        <f t="shared" si="13"/>
        <v>150608.5417826389</v>
      </c>
      <c r="M68" s="50">
        <f t="shared" si="21"/>
        <v>126414.25750000001</v>
      </c>
      <c r="N68" s="51">
        <v>45884</v>
      </c>
      <c r="O68" s="51">
        <v>46596</v>
      </c>
      <c r="P68" s="7">
        <f t="shared" si="2"/>
        <v>7</v>
      </c>
      <c r="Q68" s="51">
        <v>46596</v>
      </c>
    </row>
    <row r="69" spans="2:17" s="41" customFormat="1" x14ac:dyDescent="0.2">
      <c r="B69" s="42" t="s">
        <v>7</v>
      </c>
      <c r="C69" s="5" t="s">
        <v>63</v>
      </c>
      <c r="D69" s="42" t="s">
        <v>31</v>
      </c>
      <c r="E69" s="42" t="s">
        <v>15</v>
      </c>
      <c r="F69" s="97" t="s">
        <v>18</v>
      </c>
      <c r="G69" s="48" t="s">
        <v>20</v>
      </c>
      <c r="H69" s="42">
        <v>130808656</v>
      </c>
      <c r="I69" s="48" t="s">
        <v>32</v>
      </c>
      <c r="J69" s="44">
        <v>46066</v>
      </c>
      <c r="K69" s="49">
        <v>0.12</v>
      </c>
      <c r="L69" s="46">
        <f t="shared" si="13"/>
        <v>167316.29281555556</v>
      </c>
      <c r="M69" s="50">
        <f t="shared" si="21"/>
        <v>126414.25750000001</v>
      </c>
      <c r="N69" s="51">
        <v>45884</v>
      </c>
      <c r="O69" s="51">
        <v>46962</v>
      </c>
      <c r="P69" s="7">
        <f t="shared" ref="P69:P131" si="22">MONTH(O69)</f>
        <v>7</v>
      </c>
      <c r="Q69" s="51">
        <v>46962</v>
      </c>
    </row>
    <row r="70" spans="2:17" s="41" customFormat="1" x14ac:dyDescent="0.2">
      <c r="B70" s="42" t="s">
        <v>7</v>
      </c>
      <c r="C70" s="5" t="s">
        <v>63</v>
      </c>
      <c r="D70" s="42" t="s">
        <v>31</v>
      </c>
      <c r="E70" s="42" t="s">
        <v>15</v>
      </c>
      <c r="F70" s="97" t="s">
        <v>18</v>
      </c>
      <c r="G70" s="48" t="s">
        <v>21</v>
      </c>
      <c r="H70" s="42">
        <v>130808656</v>
      </c>
      <c r="I70" s="48" t="s">
        <v>32</v>
      </c>
      <c r="J70" s="44">
        <v>46066</v>
      </c>
      <c r="K70" s="49">
        <v>0.12</v>
      </c>
      <c r="L70" s="46">
        <f t="shared" ref="L70:L101" si="23">(((O70-J70)*M70*((K70+1%)/12)/30))+M70</f>
        <v>183978.39425548614</v>
      </c>
      <c r="M70" s="50">
        <f t="shared" si="21"/>
        <v>126414.25750000001</v>
      </c>
      <c r="N70" s="51">
        <v>45884</v>
      </c>
      <c r="O70" s="51">
        <v>47327</v>
      </c>
      <c r="P70" s="7">
        <f t="shared" si="22"/>
        <v>7</v>
      </c>
      <c r="Q70" s="51">
        <v>47327</v>
      </c>
    </row>
    <row r="71" spans="2:17" s="41" customFormat="1" x14ac:dyDescent="0.2">
      <c r="B71" s="42" t="s">
        <v>7</v>
      </c>
      <c r="C71" s="5" t="s">
        <v>63</v>
      </c>
      <c r="D71" s="42" t="s">
        <v>31</v>
      </c>
      <c r="E71" s="42" t="s">
        <v>15</v>
      </c>
      <c r="F71" s="97" t="s">
        <v>18</v>
      </c>
      <c r="G71" s="48" t="s">
        <v>11</v>
      </c>
      <c r="H71" s="42">
        <v>130808302</v>
      </c>
      <c r="I71" s="48" t="s">
        <v>32</v>
      </c>
      <c r="J71" s="44">
        <v>46066</v>
      </c>
      <c r="K71" s="49">
        <v>0.12</v>
      </c>
      <c r="L71" s="46">
        <f t="shared" si="23"/>
        <v>1352335.3542066666</v>
      </c>
      <c r="M71" s="50">
        <v>1303385.97</v>
      </c>
      <c r="N71" s="51">
        <v>45884</v>
      </c>
      <c r="O71" s="51">
        <v>46170</v>
      </c>
      <c r="P71" s="7">
        <f t="shared" si="22"/>
        <v>5</v>
      </c>
      <c r="Q71" s="47">
        <v>46170</v>
      </c>
    </row>
    <row r="72" spans="2:17" s="41" customFormat="1" x14ac:dyDescent="0.2">
      <c r="B72" s="42" t="s">
        <v>7</v>
      </c>
      <c r="C72" s="5" t="s">
        <v>63</v>
      </c>
      <c r="D72" s="42" t="s">
        <v>31</v>
      </c>
      <c r="E72" s="42" t="s">
        <v>15</v>
      </c>
      <c r="F72" s="97" t="s">
        <v>18</v>
      </c>
      <c r="G72" s="42" t="s">
        <v>11</v>
      </c>
      <c r="H72" s="42">
        <v>4009707</v>
      </c>
      <c r="I72" s="48" t="s">
        <v>32</v>
      </c>
      <c r="J72" s="44">
        <v>46066</v>
      </c>
      <c r="K72" s="40">
        <v>0.13500000000000001</v>
      </c>
      <c r="L72" s="46">
        <f t="shared" si="23"/>
        <v>231130.56689722225</v>
      </c>
      <c r="M72" s="50">
        <f t="shared" ref="M72:M76" si="24">1040412.68/5</f>
        <v>208082.53600000002</v>
      </c>
      <c r="N72" s="51">
        <v>45954</v>
      </c>
      <c r="O72" s="51">
        <v>46341</v>
      </c>
      <c r="P72" s="7">
        <f t="shared" si="22"/>
        <v>11</v>
      </c>
      <c r="Q72" s="47">
        <v>47802</v>
      </c>
    </row>
    <row r="73" spans="2:17" s="41" customFormat="1" x14ac:dyDescent="0.2">
      <c r="B73" s="42" t="s">
        <v>7</v>
      </c>
      <c r="C73" s="5" t="s">
        <v>63</v>
      </c>
      <c r="D73" s="42" t="s">
        <v>31</v>
      </c>
      <c r="E73" s="42" t="s">
        <v>15</v>
      </c>
      <c r="F73" s="97" t="s">
        <v>18</v>
      </c>
      <c r="G73" s="42" t="s">
        <v>19</v>
      </c>
      <c r="H73" s="42">
        <v>4009707</v>
      </c>
      <c r="I73" s="48" t="s">
        <v>32</v>
      </c>
      <c r="J73" s="44">
        <v>46066</v>
      </c>
      <c r="K73" s="40">
        <v>0.13500000000000001</v>
      </c>
      <c r="L73" s="46">
        <f t="shared" si="23"/>
        <v>261721.58972444449</v>
      </c>
      <c r="M73" s="50">
        <f t="shared" si="24"/>
        <v>208082.53600000002</v>
      </c>
      <c r="N73" s="51">
        <v>45954</v>
      </c>
      <c r="O73" s="51">
        <v>46706</v>
      </c>
      <c r="P73" s="7">
        <f t="shared" si="22"/>
        <v>11</v>
      </c>
      <c r="Q73" s="47">
        <v>47802</v>
      </c>
    </row>
    <row r="74" spans="2:17" s="41" customFormat="1" x14ac:dyDescent="0.2">
      <c r="B74" s="42" t="s">
        <v>7</v>
      </c>
      <c r="C74" s="5" t="s">
        <v>63</v>
      </c>
      <c r="D74" s="42" t="s">
        <v>31</v>
      </c>
      <c r="E74" s="42" t="s">
        <v>15</v>
      </c>
      <c r="F74" s="97" t="s">
        <v>18</v>
      </c>
      <c r="G74" s="42" t="s">
        <v>20</v>
      </c>
      <c r="H74" s="42">
        <v>4009707</v>
      </c>
      <c r="I74" s="48" t="s">
        <v>32</v>
      </c>
      <c r="J74" s="44">
        <v>46066</v>
      </c>
      <c r="K74" s="40">
        <v>0.13500000000000001</v>
      </c>
      <c r="L74" s="46">
        <f t="shared" si="23"/>
        <v>292396.42357311118</v>
      </c>
      <c r="M74" s="50">
        <f t="shared" si="24"/>
        <v>208082.53600000002</v>
      </c>
      <c r="N74" s="51">
        <v>45954</v>
      </c>
      <c r="O74" s="51">
        <v>47072</v>
      </c>
      <c r="P74" s="7">
        <f t="shared" si="22"/>
        <v>11</v>
      </c>
      <c r="Q74" s="47">
        <v>47802</v>
      </c>
    </row>
    <row r="75" spans="2:17" s="41" customFormat="1" x14ac:dyDescent="0.2">
      <c r="B75" s="42" t="s">
        <v>7</v>
      </c>
      <c r="C75" s="5" t="s">
        <v>63</v>
      </c>
      <c r="D75" s="42" t="s">
        <v>31</v>
      </c>
      <c r="E75" s="42" t="s">
        <v>15</v>
      </c>
      <c r="F75" s="97" t="s">
        <v>18</v>
      </c>
      <c r="G75" s="42" t="s">
        <v>21</v>
      </c>
      <c r="H75" s="42">
        <v>4009707</v>
      </c>
      <c r="I75" s="48" t="s">
        <v>32</v>
      </c>
      <c r="J75" s="44">
        <v>46066</v>
      </c>
      <c r="K75" s="40">
        <v>0.13500000000000001</v>
      </c>
      <c r="L75" s="46">
        <f t="shared" si="23"/>
        <v>322987.44640033337</v>
      </c>
      <c r="M75" s="50">
        <f t="shared" si="24"/>
        <v>208082.53600000002</v>
      </c>
      <c r="N75" s="51">
        <v>45954</v>
      </c>
      <c r="O75" s="51">
        <v>47437</v>
      </c>
      <c r="P75" s="7">
        <f t="shared" si="22"/>
        <v>11</v>
      </c>
      <c r="Q75" s="47">
        <v>47802</v>
      </c>
    </row>
    <row r="76" spans="2:17" s="41" customFormat="1" x14ac:dyDescent="0.2">
      <c r="B76" s="42" t="s">
        <v>7</v>
      </c>
      <c r="C76" s="5" t="s">
        <v>63</v>
      </c>
      <c r="D76" s="42" t="s">
        <v>31</v>
      </c>
      <c r="E76" s="42" t="s">
        <v>15</v>
      </c>
      <c r="F76" s="97" t="s">
        <v>18</v>
      </c>
      <c r="G76" s="42" t="s">
        <v>22</v>
      </c>
      <c r="H76" s="42">
        <v>4009707</v>
      </c>
      <c r="I76" s="48" t="s">
        <v>32</v>
      </c>
      <c r="J76" s="44">
        <v>46066</v>
      </c>
      <c r="K76" s="40">
        <v>0.13500000000000001</v>
      </c>
      <c r="L76" s="46">
        <f t="shared" si="23"/>
        <v>353578.46922755567</v>
      </c>
      <c r="M76" s="50">
        <f t="shared" si="24"/>
        <v>208082.53600000002</v>
      </c>
      <c r="N76" s="51">
        <v>45954</v>
      </c>
      <c r="O76" s="51">
        <v>47802</v>
      </c>
      <c r="P76" s="7">
        <f t="shared" si="22"/>
        <v>11</v>
      </c>
      <c r="Q76" s="47">
        <v>47802</v>
      </c>
    </row>
    <row r="77" spans="2:17" s="41" customFormat="1" x14ac:dyDescent="0.2">
      <c r="B77" s="42" t="s">
        <v>7</v>
      </c>
      <c r="C77" s="5" t="s">
        <v>63</v>
      </c>
      <c r="D77" s="42" t="s">
        <v>38</v>
      </c>
      <c r="E77" s="42" t="s">
        <v>15</v>
      </c>
      <c r="F77" s="42" t="s">
        <v>10</v>
      </c>
      <c r="G77" s="42" t="s">
        <v>11</v>
      </c>
      <c r="H77" s="42">
        <v>130808977</v>
      </c>
      <c r="I77" s="42" t="s">
        <v>39</v>
      </c>
      <c r="J77" s="44">
        <v>46066</v>
      </c>
      <c r="K77" s="52">
        <v>0.17949999999999999</v>
      </c>
      <c r="L77" s="46">
        <f t="shared" si="23"/>
        <v>3695276.9756236388</v>
      </c>
      <c r="M77" s="50">
        <v>3556732.37</v>
      </c>
      <c r="N77" s="47">
        <v>45806</v>
      </c>
      <c r="O77" s="47">
        <v>46140</v>
      </c>
      <c r="P77" s="7">
        <f t="shared" si="22"/>
        <v>4</v>
      </c>
      <c r="Q77" s="47">
        <v>46140</v>
      </c>
    </row>
    <row r="78" spans="2:17" s="41" customFormat="1" x14ac:dyDescent="0.2">
      <c r="B78" s="42" t="s">
        <v>7</v>
      </c>
      <c r="C78" s="5" t="s">
        <v>63</v>
      </c>
      <c r="D78" s="42" t="s">
        <v>38</v>
      </c>
      <c r="E78" s="42" t="s">
        <v>15</v>
      </c>
      <c r="F78" s="42" t="s">
        <v>10</v>
      </c>
      <c r="G78" s="42" t="s">
        <v>11</v>
      </c>
      <c r="H78" s="43">
        <v>130809139</v>
      </c>
      <c r="I78" s="42" t="s">
        <v>39</v>
      </c>
      <c r="J78" s="44">
        <v>46066</v>
      </c>
      <c r="K78" s="52">
        <v>0.155</v>
      </c>
      <c r="L78" s="46">
        <f t="shared" si="23"/>
        <v>3369617.2984133335</v>
      </c>
      <c r="M78" s="46">
        <v>3216306.68</v>
      </c>
      <c r="N78" s="47">
        <v>45735</v>
      </c>
      <c r="O78" s="47">
        <v>46170</v>
      </c>
      <c r="P78" s="7">
        <f t="shared" si="22"/>
        <v>5</v>
      </c>
      <c r="Q78" s="44">
        <v>46170</v>
      </c>
    </row>
    <row r="79" spans="2:17" s="41" customFormat="1" x14ac:dyDescent="0.2">
      <c r="B79" s="42" t="s">
        <v>7</v>
      </c>
      <c r="C79" s="5" t="s">
        <v>63</v>
      </c>
      <c r="D79" s="42" t="s">
        <v>38</v>
      </c>
      <c r="E79" s="42" t="s">
        <v>15</v>
      </c>
      <c r="F79" s="42" t="s">
        <v>10</v>
      </c>
      <c r="G79" s="42" t="s">
        <v>11</v>
      </c>
      <c r="H79" s="43">
        <v>130809145</v>
      </c>
      <c r="I79" s="42" t="s">
        <v>39</v>
      </c>
      <c r="J79" s="44">
        <v>46066</v>
      </c>
      <c r="K79" s="52">
        <v>0.16</v>
      </c>
      <c r="L79" s="46">
        <f t="shared" si="23"/>
        <v>1943267.7162341666</v>
      </c>
      <c r="M79" s="46">
        <v>1755127.77</v>
      </c>
      <c r="N79" s="47">
        <v>45735</v>
      </c>
      <c r="O79" s="47">
        <v>46293</v>
      </c>
      <c r="P79" s="7">
        <f t="shared" si="22"/>
        <v>9</v>
      </c>
      <c r="Q79" s="44">
        <v>46293</v>
      </c>
    </row>
    <row r="80" spans="2:17" x14ac:dyDescent="0.2">
      <c r="B80" s="5" t="s">
        <v>7</v>
      </c>
      <c r="C80" s="5" t="s">
        <v>63</v>
      </c>
      <c r="D80" s="4" t="s">
        <v>40</v>
      </c>
      <c r="E80" s="4" t="s">
        <v>37</v>
      </c>
      <c r="F80" s="95" t="s">
        <v>18</v>
      </c>
      <c r="G80" s="5" t="s">
        <v>11</v>
      </c>
      <c r="H80" s="4" t="s">
        <v>41</v>
      </c>
      <c r="I80" s="4" t="s">
        <v>42</v>
      </c>
      <c r="J80" s="6">
        <v>46066</v>
      </c>
      <c r="K80" s="26">
        <v>0.19</v>
      </c>
      <c r="L80" s="23">
        <f t="shared" si="23"/>
        <v>846466.59600000014</v>
      </c>
      <c r="M80" s="23">
        <f t="shared" ref="M80:M89" si="25">8464665.96/10</f>
        <v>846466.59600000014</v>
      </c>
      <c r="N80" s="8">
        <v>45517</v>
      </c>
      <c r="O80" s="8">
        <v>46066</v>
      </c>
      <c r="P80" s="7">
        <f t="shared" si="22"/>
        <v>2</v>
      </c>
      <c r="Q80" s="8">
        <v>47708</v>
      </c>
    </row>
    <row r="81" spans="2:17" x14ac:dyDescent="0.2">
      <c r="B81" s="5" t="s">
        <v>7</v>
      </c>
      <c r="C81" s="5" t="s">
        <v>63</v>
      </c>
      <c r="D81" s="4" t="s">
        <v>40</v>
      </c>
      <c r="E81" s="4" t="s">
        <v>37</v>
      </c>
      <c r="F81" s="95" t="s">
        <v>18</v>
      </c>
      <c r="G81" s="5" t="s">
        <v>11</v>
      </c>
      <c r="H81" s="4" t="s">
        <v>41</v>
      </c>
      <c r="I81" s="4" t="s">
        <v>42</v>
      </c>
      <c r="J81" s="6">
        <v>46066</v>
      </c>
      <c r="K81" s="26">
        <v>0.19</v>
      </c>
      <c r="L81" s="23">
        <f t="shared" si="23"/>
        <v>931583.51482000016</v>
      </c>
      <c r="M81" s="23">
        <f t="shared" si="25"/>
        <v>846466.59600000014</v>
      </c>
      <c r="N81" s="8">
        <v>45517</v>
      </c>
      <c r="O81" s="8">
        <v>46247</v>
      </c>
      <c r="P81" s="7">
        <f t="shared" si="22"/>
        <v>8</v>
      </c>
      <c r="Q81" s="8">
        <v>47708</v>
      </c>
    </row>
    <row r="82" spans="2:17" x14ac:dyDescent="0.2">
      <c r="B82" s="5" t="s">
        <v>7</v>
      </c>
      <c r="C82" s="5" t="s">
        <v>63</v>
      </c>
      <c r="D82" s="4" t="s">
        <v>40</v>
      </c>
      <c r="E82" s="4" t="s">
        <v>37</v>
      </c>
      <c r="F82" s="95" t="s">
        <v>18</v>
      </c>
      <c r="G82" s="5" t="s">
        <v>19</v>
      </c>
      <c r="H82" s="4" t="s">
        <v>41</v>
      </c>
      <c r="I82" s="4" t="s">
        <v>42</v>
      </c>
      <c r="J82" s="6">
        <v>46066</v>
      </c>
      <c r="K82" s="26">
        <v>0.19</v>
      </c>
      <c r="L82" s="23">
        <f t="shared" si="23"/>
        <v>1018111.2113000002</v>
      </c>
      <c r="M82" s="23">
        <f t="shared" si="25"/>
        <v>846466.59600000014</v>
      </c>
      <c r="N82" s="8">
        <v>45517</v>
      </c>
      <c r="O82" s="8">
        <v>46431</v>
      </c>
      <c r="P82" s="7">
        <f t="shared" si="22"/>
        <v>2</v>
      </c>
      <c r="Q82" s="8">
        <v>47708</v>
      </c>
    </row>
    <row r="83" spans="2:17" x14ac:dyDescent="0.2">
      <c r="B83" s="5" t="s">
        <v>7</v>
      </c>
      <c r="C83" s="5" t="s">
        <v>63</v>
      </c>
      <c r="D83" s="4" t="s">
        <v>40</v>
      </c>
      <c r="E83" s="4" t="s">
        <v>37</v>
      </c>
      <c r="F83" s="95" t="s">
        <v>18</v>
      </c>
      <c r="G83" s="5" t="s">
        <v>19</v>
      </c>
      <c r="H83" s="4" t="s">
        <v>41</v>
      </c>
      <c r="I83" s="4" t="s">
        <v>42</v>
      </c>
      <c r="J83" s="6">
        <v>46066</v>
      </c>
      <c r="K83" s="26">
        <v>0.19</v>
      </c>
      <c r="L83" s="23">
        <f t="shared" si="23"/>
        <v>1103228.1301200001</v>
      </c>
      <c r="M83" s="23">
        <f t="shared" si="25"/>
        <v>846466.59600000014</v>
      </c>
      <c r="N83" s="8">
        <v>45517</v>
      </c>
      <c r="O83" s="8">
        <v>46612</v>
      </c>
      <c r="P83" s="7">
        <f t="shared" si="22"/>
        <v>8</v>
      </c>
      <c r="Q83" s="8">
        <v>47708</v>
      </c>
    </row>
    <row r="84" spans="2:17" x14ac:dyDescent="0.2">
      <c r="B84" s="5" t="s">
        <v>7</v>
      </c>
      <c r="C84" s="5" t="s">
        <v>63</v>
      </c>
      <c r="D84" s="4" t="s">
        <v>40</v>
      </c>
      <c r="E84" s="4" t="s">
        <v>37</v>
      </c>
      <c r="F84" s="95" t="s">
        <v>18</v>
      </c>
      <c r="G84" s="5" t="s">
        <v>20</v>
      </c>
      <c r="H84" s="4" t="s">
        <v>41</v>
      </c>
      <c r="I84" s="4" t="s">
        <v>42</v>
      </c>
      <c r="J84" s="6">
        <v>46066</v>
      </c>
      <c r="K84" s="26">
        <v>0.19</v>
      </c>
      <c r="L84" s="23">
        <f t="shared" si="23"/>
        <v>1189755.8266000003</v>
      </c>
      <c r="M84" s="23">
        <f t="shared" si="25"/>
        <v>846466.59600000014</v>
      </c>
      <c r="N84" s="8">
        <v>45517</v>
      </c>
      <c r="O84" s="8">
        <v>46796</v>
      </c>
      <c r="P84" s="7">
        <f t="shared" si="22"/>
        <v>2</v>
      </c>
      <c r="Q84" s="8">
        <v>47708</v>
      </c>
    </row>
    <row r="85" spans="2:17" x14ac:dyDescent="0.2">
      <c r="B85" s="5" t="s">
        <v>7</v>
      </c>
      <c r="C85" s="5" t="s">
        <v>63</v>
      </c>
      <c r="D85" s="4" t="s">
        <v>40</v>
      </c>
      <c r="E85" s="4" t="s">
        <v>37</v>
      </c>
      <c r="F85" s="95" t="s">
        <v>18</v>
      </c>
      <c r="G85" s="5" t="s">
        <v>20</v>
      </c>
      <c r="H85" s="4" t="s">
        <v>41</v>
      </c>
      <c r="I85" s="4" t="s">
        <v>42</v>
      </c>
      <c r="J85" s="6">
        <v>46066</v>
      </c>
      <c r="K85" s="26">
        <v>0.19</v>
      </c>
      <c r="L85" s="23">
        <f t="shared" si="23"/>
        <v>1275343.0046400002</v>
      </c>
      <c r="M85" s="23">
        <f t="shared" si="25"/>
        <v>846466.59600000014</v>
      </c>
      <c r="N85" s="8">
        <v>45517</v>
      </c>
      <c r="O85" s="8">
        <v>46978</v>
      </c>
      <c r="P85" s="7">
        <f t="shared" si="22"/>
        <v>8</v>
      </c>
      <c r="Q85" s="8">
        <v>47708</v>
      </c>
    </row>
    <row r="86" spans="2:17" x14ac:dyDescent="0.2">
      <c r="B86" s="5" t="s">
        <v>7</v>
      </c>
      <c r="C86" s="5" t="s">
        <v>63</v>
      </c>
      <c r="D86" s="4" t="s">
        <v>40</v>
      </c>
      <c r="E86" s="4" t="s">
        <v>37</v>
      </c>
      <c r="F86" s="95" t="s">
        <v>18</v>
      </c>
      <c r="G86" s="5" t="s">
        <v>21</v>
      </c>
      <c r="H86" s="4" t="s">
        <v>41</v>
      </c>
      <c r="I86" s="4" t="s">
        <v>42</v>
      </c>
      <c r="J86" s="6">
        <v>46066</v>
      </c>
      <c r="K86" s="26">
        <v>0.19</v>
      </c>
      <c r="L86" s="23">
        <f t="shared" si="23"/>
        <v>1361870.7011200003</v>
      </c>
      <c r="M86" s="23">
        <f t="shared" si="25"/>
        <v>846466.59600000014</v>
      </c>
      <c r="N86" s="8">
        <v>45517</v>
      </c>
      <c r="O86" s="8">
        <v>47162</v>
      </c>
      <c r="P86" s="7">
        <f t="shared" si="22"/>
        <v>2</v>
      </c>
      <c r="Q86" s="8">
        <v>47708</v>
      </c>
    </row>
    <row r="87" spans="2:17" x14ac:dyDescent="0.2">
      <c r="B87" s="5" t="s">
        <v>7</v>
      </c>
      <c r="C87" s="5" t="s">
        <v>63</v>
      </c>
      <c r="D87" s="4" t="s">
        <v>40</v>
      </c>
      <c r="E87" s="4" t="s">
        <v>37</v>
      </c>
      <c r="F87" s="95" t="s">
        <v>18</v>
      </c>
      <c r="G87" s="5" t="s">
        <v>21</v>
      </c>
      <c r="H87" s="4" t="s">
        <v>41</v>
      </c>
      <c r="I87" s="4" t="s">
        <v>42</v>
      </c>
      <c r="J87" s="6">
        <v>46066</v>
      </c>
      <c r="K87" s="26">
        <v>0.19</v>
      </c>
      <c r="L87" s="23">
        <f t="shared" si="23"/>
        <v>1446987.6199400004</v>
      </c>
      <c r="M87" s="23">
        <f t="shared" si="25"/>
        <v>846466.59600000014</v>
      </c>
      <c r="N87" s="8">
        <v>45517</v>
      </c>
      <c r="O87" s="8">
        <v>47343</v>
      </c>
      <c r="P87" s="7">
        <f t="shared" si="22"/>
        <v>8</v>
      </c>
      <c r="Q87" s="8">
        <v>47708</v>
      </c>
    </row>
    <row r="88" spans="2:17" x14ac:dyDescent="0.2">
      <c r="B88" s="5" t="s">
        <v>7</v>
      </c>
      <c r="C88" s="5" t="s">
        <v>63</v>
      </c>
      <c r="D88" s="4" t="s">
        <v>40</v>
      </c>
      <c r="E88" s="4" t="s">
        <v>37</v>
      </c>
      <c r="F88" s="95" t="s">
        <v>18</v>
      </c>
      <c r="G88" s="5" t="s">
        <v>22</v>
      </c>
      <c r="H88" s="4" t="s">
        <v>41</v>
      </c>
      <c r="I88" s="4" t="s">
        <v>42</v>
      </c>
      <c r="J88" s="6">
        <v>46066</v>
      </c>
      <c r="K88" s="26">
        <v>0.19</v>
      </c>
      <c r="L88" s="23">
        <f t="shared" si="23"/>
        <v>1533515.3164200005</v>
      </c>
      <c r="M88" s="23">
        <f t="shared" si="25"/>
        <v>846466.59600000014</v>
      </c>
      <c r="N88" s="8">
        <v>45517</v>
      </c>
      <c r="O88" s="8">
        <v>47527</v>
      </c>
      <c r="P88" s="7">
        <f t="shared" si="22"/>
        <v>2</v>
      </c>
      <c r="Q88" s="8">
        <v>47708</v>
      </c>
    </row>
    <row r="89" spans="2:17" x14ac:dyDescent="0.2">
      <c r="B89" s="5" t="s">
        <v>7</v>
      </c>
      <c r="C89" s="5" t="s">
        <v>63</v>
      </c>
      <c r="D89" s="4" t="s">
        <v>40</v>
      </c>
      <c r="E89" s="4" t="s">
        <v>37</v>
      </c>
      <c r="F89" s="95" t="s">
        <v>18</v>
      </c>
      <c r="G89" s="5" t="s">
        <v>22</v>
      </c>
      <c r="H89" s="4" t="s">
        <v>41</v>
      </c>
      <c r="I89" s="4" t="s">
        <v>42</v>
      </c>
      <c r="J89" s="6">
        <v>46066</v>
      </c>
      <c r="K89" s="26">
        <v>0.19</v>
      </c>
      <c r="L89" s="23">
        <f t="shared" si="23"/>
        <v>1618632.2352400003</v>
      </c>
      <c r="M89" s="23">
        <f t="shared" si="25"/>
        <v>846466.59600000014</v>
      </c>
      <c r="N89" s="8">
        <v>45517</v>
      </c>
      <c r="O89" s="8">
        <v>47708</v>
      </c>
      <c r="P89" s="7">
        <f t="shared" si="22"/>
        <v>8</v>
      </c>
      <c r="Q89" s="8">
        <v>47708</v>
      </c>
    </row>
    <row r="90" spans="2:17" x14ac:dyDescent="0.2">
      <c r="B90" s="5" t="s">
        <v>7</v>
      </c>
      <c r="C90" s="5" t="s">
        <v>63</v>
      </c>
      <c r="D90" s="4" t="s">
        <v>43</v>
      </c>
      <c r="E90" s="4" t="s">
        <v>44</v>
      </c>
      <c r="F90" s="95" t="s">
        <v>18</v>
      </c>
      <c r="G90" s="5" t="s">
        <v>11</v>
      </c>
      <c r="H90" s="4" t="s">
        <v>45</v>
      </c>
      <c r="I90" s="4" t="s">
        <v>12</v>
      </c>
      <c r="J90" s="6">
        <v>46066</v>
      </c>
      <c r="K90" s="26">
        <v>6.8699999999999997E-2</v>
      </c>
      <c r="L90" s="23">
        <f t="shared" si="23"/>
        <v>1116341.4994254999</v>
      </c>
      <c r="M90" s="23">
        <f>4114565.04/4</f>
        <v>1028641.26</v>
      </c>
      <c r="N90" s="8">
        <v>45282</v>
      </c>
      <c r="O90" s="8">
        <v>46456</v>
      </c>
      <c r="P90" s="7">
        <f t="shared" si="22"/>
        <v>3</v>
      </c>
      <c r="Q90" s="8">
        <v>47128</v>
      </c>
    </row>
    <row r="91" spans="2:17" x14ac:dyDescent="0.2">
      <c r="B91" s="5" t="s">
        <v>7</v>
      </c>
      <c r="C91" s="5" t="s">
        <v>63</v>
      </c>
      <c r="D91" s="4" t="s">
        <v>43</v>
      </c>
      <c r="E91" s="4" t="s">
        <v>44</v>
      </c>
      <c r="F91" s="95" t="s">
        <v>18</v>
      </c>
      <c r="G91" s="5" t="s">
        <v>19</v>
      </c>
      <c r="H91" s="4" t="s">
        <v>45</v>
      </c>
      <c r="I91" s="4" t="s">
        <v>12</v>
      </c>
      <c r="J91" s="6">
        <v>46066</v>
      </c>
      <c r="K91" s="26">
        <v>6.8699999999999997E-2</v>
      </c>
      <c r="L91" s="23">
        <f t="shared" si="23"/>
        <v>399388.4477065946</v>
      </c>
      <c r="M91" s="32">
        <f>4114565.04*0.0833</f>
        <v>342743.26783199998</v>
      </c>
      <c r="N91" s="8">
        <v>45282</v>
      </c>
      <c r="O91" s="8">
        <v>46822</v>
      </c>
      <c r="P91" s="7">
        <f t="shared" si="22"/>
        <v>3</v>
      </c>
      <c r="Q91" s="8">
        <v>47128</v>
      </c>
    </row>
    <row r="92" spans="2:17" x14ac:dyDescent="0.2">
      <c r="B92" s="5" t="s">
        <v>7</v>
      </c>
      <c r="C92" s="5" t="s">
        <v>63</v>
      </c>
      <c r="D92" s="4" t="s">
        <v>43</v>
      </c>
      <c r="E92" s="4" t="s">
        <v>44</v>
      </c>
      <c r="F92" s="95" t="s">
        <v>18</v>
      </c>
      <c r="G92" s="5" t="s">
        <v>20</v>
      </c>
      <c r="H92" s="4" t="s">
        <v>45</v>
      </c>
      <c r="I92" s="4" t="s">
        <v>12</v>
      </c>
      <c r="J92" s="6">
        <v>46066</v>
      </c>
      <c r="K92" s="26">
        <v>6.8699999999999997E-2</v>
      </c>
      <c r="L92" s="23">
        <f t="shared" si="23"/>
        <v>853473.96063601214</v>
      </c>
      <c r="M92" s="32">
        <f>4114565.04*0.1666</f>
        <v>685486.53566399997</v>
      </c>
      <c r="N92" s="8">
        <v>45282</v>
      </c>
      <c r="O92" s="8">
        <v>47187</v>
      </c>
      <c r="P92" s="7">
        <f t="shared" si="22"/>
        <v>3</v>
      </c>
      <c r="Q92" s="8">
        <v>47128</v>
      </c>
    </row>
    <row r="93" spans="2:17" x14ac:dyDescent="0.2">
      <c r="B93" s="5" t="s">
        <v>7</v>
      </c>
      <c r="C93" s="5" t="s">
        <v>63</v>
      </c>
      <c r="D93" s="4" t="s">
        <v>43</v>
      </c>
      <c r="E93" s="4" t="s">
        <v>44</v>
      </c>
      <c r="F93" s="95" t="s">
        <v>18</v>
      </c>
      <c r="G93" s="12" t="s">
        <v>21</v>
      </c>
      <c r="H93" s="4" t="s">
        <v>45</v>
      </c>
      <c r="I93" s="13" t="s">
        <v>12</v>
      </c>
      <c r="J93" s="6">
        <v>46066</v>
      </c>
      <c r="K93" s="26">
        <v>6.8699999999999997E-2</v>
      </c>
      <c r="L93" s="23">
        <f t="shared" si="23"/>
        <v>2725603.3189040665</v>
      </c>
      <c r="M93" s="32">
        <f>4114565.04/2</f>
        <v>2057282.52</v>
      </c>
      <c r="N93" s="8">
        <v>45282</v>
      </c>
      <c r="O93" s="8">
        <v>47552</v>
      </c>
      <c r="P93" s="7">
        <f t="shared" si="22"/>
        <v>3</v>
      </c>
      <c r="Q93" s="8">
        <v>47128</v>
      </c>
    </row>
    <row r="94" spans="2:17" x14ac:dyDescent="0.2">
      <c r="B94" s="5" t="s">
        <v>7</v>
      </c>
      <c r="C94" s="5" t="s">
        <v>63</v>
      </c>
      <c r="D94" s="4" t="s">
        <v>43</v>
      </c>
      <c r="E94" s="4" t="s">
        <v>44</v>
      </c>
      <c r="F94" s="95" t="s">
        <v>18</v>
      </c>
      <c r="G94" s="12" t="s">
        <v>11</v>
      </c>
      <c r="H94" s="16" t="s">
        <v>46</v>
      </c>
      <c r="I94" s="13" t="s">
        <v>12</v>
      </c>
      <c r="J94" s="6">
        <v>46066</v>
      </c>
      <c r="K94" s="26">
        <v>0.105</v>
      </c>
      <c r="L94" s="23">
        <f>(((O94-J94)*M94*((K94+1%)/12)/30))+M94</f>
        <v>6100616.7476583337</v>
      </c>
      <c r="M94" s="23">
        <v>5424779.6200000001</v>
      </c>
      <c r="N94" s="8">
        <v>45282</v>
      </c>
      <c r="O94" s="8">
        <v>46456</v>
      </c>
      <c r="P94" s="7">
        <f t="shared" si="22"/>
        <v>3</v>
      </c>
      <c r="Q94" s="8">
        <v>46032</v>
      </c>
    </row>
    <row r="95" spans="2:17" x14ac:dyDescent="0.2">
      <c r="B95" s="5" t="s">
        <v>7</v>
      </c>
      <c r="C95" s="5" t="s">
        <v>63</v>
      </c>
      <c r="D95" s="4" t="s">
        <v>43</v>
      </c>
      <c r="E95" s="4" t="s">
        <v>44</v>
      </c>
      <c r="F95" s="4" t="s">
        <v>10</v>
      </c>
      <c r="G95" s="12" t="s">
        <v>11</v>
      </c>
      <c r="H95" s="4" t="s">
        <v>47</v>
      </c>
      <c r="I95" s="13" t="s">
        <v>12</v>
      </c>
      <c r="J95" s="6">
        <v>46066</v>
      </c>
      <c r="K95" s="29">
        <v>6.0400000000000002E-2</v>
      </c>
      <c r="L95" s="23">
        <f>(((O95-J95)*M95*((K95+1%)/12)/30))+M95</f>
        <v>10066397.409348266</v>
      </c>
      <c r="M95" s="23">
        <v>9899903.0399999991</v>
      </c>
      <c r="N95" s="8">
        <v>45848</v>
      </c>
      <c r="O95" s="8">
        <v>46152</v>
      </c>
      <c r="P95" s="7">
        <f t="shared" si="22"/>
        <v>5</v>
      </c>
      <c r="Q95" s="8">
        <v>46152</v>
      </c>
    </row>
    <row r="96" spans="2:17" x14ac:dyDescent="0.2">
      <c r="B96" s="5" t="s">
        <v>7</v>
      </c>
      <c r="C96" s="5" t="s">
        <v>63</v>
      </c>
      <c r="D96" s="4" t="s">
        <v>43</v>
      </c>
      <c r="E96" s="4" t="s">
        <v>44</v>
      </c>
      <c r="F96" s="4" t="s">
        <v>10</v>
      </c>
      <c r="G96" s="12" t="s">
        <v>11</v>
      </c>
      <c r="H96" s="4" t="s">
        <v>48</v>
      </c>
      <c r="I96" s="13" t="s">
        <v>12</v>
      </c>
      <c r="J96" s="6">
        <v>46066</v>
      </c>
      <c r="K96" s="29">
        <v>0.18870000000000001</v>
      </c>
      <c r="L96" s="23">
        <f>(((O96-J96)*M96*((K96+1%)/12)/30))+M96</f>
        <v>2276554.8489535889</v>
      </c>
      <c r="M96" s="23">
        <v>2173390.06</v>
      </c>
      <c r="N96" s="8">
        <v>45848</v>
      </c>
      <c r="O96" s="8">
        <v>46152</v>
      </c>
      <c r="P96" s="7">
        <f t="shared" si="22"/>
        <v>5</v>
      </c>
      <c r="Q96" s="8">
        <v>46152</v>
      </c>
    </row>
    <row r="97" spans="2:18" x14ac:dyDescent="0.2">
      <c r="B97" s="5" t="s">
        <v>7</v>
      </c>
      <c r="C97" s="5" t="s">
        <v>64</v>
      </c>
      <c r="D97" s="4" t="s">
        <v>52</v>
      </c>
      <c r="E97" s="4" t="s">
        <v>53</v>
      </c>
      <c r="F97" s="95" t="s">
        <v>18</v>
      </c>
      <c r="G97" s="12" t="s">
        <v>11</v>
      </c>
      <c r="H97" s="75">
        <v>106323050013800</v>
      </c>
      <c r="I97" s="13" t="s">
        <v>12</v>
      </c>
      <c r="J97" s="6">
        <v>46066</v>
      </c>
      <c r="K97" s="29">
        <v>8.8900000000000007E-2</v>
      </c>
      <c r="L97" s="73">
        <f>(607570.33+164289.55)*5.3</f>
        <v>4090857.3639999991</v>
      </c>
      <c r="M97" s="23">
        <v>3996983.7593193189</v>
      </c>
      <c r="N97" s="8">
        <v>45064</v>
      </c>
      <c r="O97" s="8">
        <v>46161</v>
      </c>
      <c r="P97" s="7">
        <f t="shared" si="22"/>
        <v>5</v>
      </c>
      <c r="Q97" s="8">
        <v>46892</v>
      </c>
    </row>
    <row r="98" spans="2:18" x14ac:dyDescent="0.2">
      <c r="B98" s="5" t="s">
        <v>7</v>
      </c>
      <c r="C98" s="5" t="s">
        <v>64</v>
      </c>
      <c r="D98" s="4" t="s">
        <v>52</v>
      </c>
      <c r="E98" s="4" t="s">
        <v>53</v>
      </c>
      <c r="F98" s="95" t="s">
        <v>18</v>
      </c>
      <c r="G98" s="12" t="s">
        <v>19</v>
      </c>
      <c r="H98" s="75">
        <v>106323050013800</v>
      </c>
      <c r="I98" s="13" t="s">
        <v>12</v>
      </c>
      <c r="J98" s="6">
        <v>46066</v>
      </c>
      <c r="K98" s="29">
        <v>8.8900000000000007E-2</v>
      </c>
      <c r="L98" s="73">
        <f>(607570.33+109526.36)*5.5</f>
        <v>3944031.7949999999</v>
      </c>
      <c r="M98" s="23">
        <v>3541306.5451189703</v>
      </c>
      <c r="N98" s="8">
        <v>45064</v>
      </c>
      <c r="O98" s="8">
        <v>46526</v>
      </c>
      <c r="P98" s="7">
        <f t="shared" si="22"/>
        <v>5</v>
      </c>
      <c r="Q98" s="8">
        <v>46892</v>
      </c>
    </row>
    <row r="99" spans="2:18" x14ac:dyDescent="0.2">
      <c r="B99" s="5" t="s">
        <v>7</v>
      </c>
      <c r="C99" s="5" t="s">
        <v>64</v>
      </c>
      <c r="D99" s="4" t="s">
        <v>52</v>
      </c>
      <c r="E99" s="4" t="s">
        <v>53</v>
      </c>
      <c r="F99" s="95" t="s">
        <v>18</v>
      </c>
      <c r="G99" s="12" t="s">
        <v>20</v>
      </c>
      <c r="H99" s="75">
        <v>106323050013800</v>
      </c>
      <c r="I99" s="13" t="s">
        <v>12</v>
      </c>
      <c r="J99" s="6">
        <v>46066</v>
      </c>
      <c r="K99" s="29">
        <v>8.8900000000000007E-2</v>
      </c>
      <c r="L99" s="73">
        <f>(607570.33+54913.22)*5.6</f>
        <v>3709907.8799999994</v>
      </c>
      <c r="M99" s="23">
        <v>3080792.8620528975</v>
      </c>
      <c r="N99" s="8">
        <v>45064</v>
      </c>
      <c r="O99" s="8">
        <v>46892</v>
      </c>
      <c r="P99" s="7">
        <f t="shared" si="22"/>
        <v>5</v>
      </c>
      <c r="Q99" s="8">
        <v>46892</v>
      </c>
    </row>
    <row r="100" spans="2:18" x14ac:dyDescent="0.2">
      <c r="B100" s="5" t="s">
        <v>7</v>
      </c>
      <c r="C100" s="5" t="s">
        <v>63</v>
      </c>
      <c r="D100" s="4" t="s">
        <v>14</v>
      </c>
      <c r="E100" s="4" t="s">
        <v>37</v>
      </c>
      <c r="F100" s="4" t="s">
        <v>10</v>
      </c>
      <c r="G100" s="12" t="s">
        <v>11</v>
      </c>
      <c r="H100" s="4"/>
      <c r="I100" s="13" t="s">
        <v>12</v>
      </c>
      <c r="J100" s="6">
        <v>46066</v>
      </c>
      <c r="K100" s="29">
        <v>0.15</v>
      </c>
      <c r="L100" s="23">
        <v>5975000</v>
      </c>
      <c r="M100" s="23">
        <v>5764583.333333333</v>
      </c>
      <c r="N100" s="8">
        <v>45699</v>
      </c>
      <c r="O100" s="8">
        <v>46167</v>
      </c>
      <c r="P100" s="7">
        <f t="shared" si="22"/>
        <v>5</v>
      </c>
      <c r="Q100" s="8">
        <v>46167</v>
      </c>
    </row>
    <row r="101" spans="2:18" s="53" customFormat="1" x14ac:dyDescent="0.2">
      <c r="B101" s="43" t="s">
        <v>13</v>
      </c>
      <c r="C101" s="4" t="s">
        <v>63</v>
      </c>
      <c r="D101" s="43" t="s">
        <v>26</v>
      </c>
      <c r="E101" s="43" t="s">
        <v>15</v>
      </c>
      <c r="F101" s="96" t="s">
        <v>18</v>
      </c>
      <c r="G101" s="42" t="s">
        <v>11</v>
      </c>
      <c r="H101" s="43">
        <v>4008942</v>
      </c>
      <c r="I101" s="43" t="s">
        <v>12</v>
      </c>
      <c r="J101" s="44">
        <v>46066</v>
      </c>
      <c r="K101" s="45">
        <v>8.5000000000000006E-2</v>
      </c>
      <c r="L101" s="46">
        <f t="shared" ref="L101:L126" si="26">(((O101-J101)*M101*((K101+1%)/12)/30))+M101</f>
        <v>194309.907435</v>
      </c>
      <c r="M101" s="46">
        <v>182555.37</v>
      </c>
      <c r="N101" s="47">
        <v>44140</v>
      </c>
      <c r="O101" s="47">
        <v>46310</v>
      </c>
      <c r="P101" s="7">
        <f t="shared" si="22"/>
        <v>10</v>
      </c>
      <c r="Q101" s="47">
        <v>46310</v>
      </c>
      <c r="R101" s="9"/>
    </row>
    <row r="102" spans="2:18" s="53" customFormat="1" x14ac:dyDescent="0.2">
      <c r="B102" s="43" t="s">
        <v>13</v>
      </c>
      <c r="C102" s="4" t="s">
        <v>63</v>
      </c>
      <c r="D102" s="43" t="s">
        <v>26</v>
      </c>
      <c r="E102" s="43" t="s">
        <v>15</v>
      </c>
      <c r="F102" s="96" t="s">
        <v>18</v>
      </c>
      <c r="G102" s="42" t="s">
        <v>11</v>
      </c>
      <c r="H102" s="43">
        <v>4008943</v>
      </c>
      <c r="I102" s="43" t="s">
        <v>12</v>
      </c>
      <c r="J102" s="44">
        <v>46066</v>
      </c>
      <c r="K102" s="45">
        <v>7.4999999999999997E-2</v>
      </c>
      <c r="L102" s="46">
        <f t="shared" si="26"/>
        <v>71807.003584305552</v>
      </c>
      <c r="M102" s="46">
        <f t="shared" ref="M102:M103" si="27">136706.53/2</f>
        <v>68353.264999999999</v>
      </c>
      <c r="N102" s="47">
        <v>44152</v>
      </c>
      <c r="O102" s="47">
        <v>46280</v>
      </c>
      <c r="P102" s="7">
        <f t="shared" si="22"/>
        <v>9</v>
      </c>
      <c r="Q102" s="47">
        <v>46645</v>
      </c>
      <c r="R102" s="9"/>
    </row>
    <row r="103" spans="2:18" s="53" customFormat="1" x14ac:dyDescent="0.2">
      <c r="B103" s="43" t="s">
        <v>13</v>
      </c>
      <c r="C103" s="4" t="s">
        <v>63</v>
      </c>
      <c r="D103" s="43" t="s">
        <v>26</v>
      </c>
      <c r="E103" s="43" t="s">
        <v>15</v>
      </c>
      <c r="F103" s="96" t="s">
        <v>18</v>
      </c>
      <c r="G103" s="42" t="s">
        <v>19</v>
      </c>
      <c r="H103" s="43">
        <v>4008943</v>
      </c>
      <c r="I103" s="43" t="s">
        <v>12</v>
      </c>
      <c r="J103" s="44">
        <v>46066</v>
      </c>
      <c r="K103" s="45">
        <v>7.4999999999999997E-2</v>
      </c>
      <c r="L103" s="46">
        <f t="shared" si="26"/>
        <v>77697.725936041665</v>
      </c>
      <c r="M103" s="46">
        <f t="shared" si="27"/>
        <v>68353.264999999999</v>
      </c>
      <c r="N103" s="47">
        <v>44152</v>
      </c>
      <c r="O103" s="47">
        <v>46645</v>
      </c>
      <c r="P103" s="7">
        <f t="shared" si="22"/>
        <v>9</v>
      </c>
      <c r="Q103" s="47">
        <v>46645</v>
      </c>
      <c r="R103" s="9"/>
    </row>
    <row r="104" spans="2:18" s="53" customFormat="1" x14ac:dyDescent="0.2">
      <c r="B104" s="43" t="s">
        <v>13</v>
      </c>
      <c r="C104" s="4" t="s">
        <v>63</v>
      </c>
      <c r="D104" s="43" t="s">
        <v>30</v>
      </c>
      <c r="E104" s="43" t="s">
        <v>15</v>
      </c>
      <c r="F104" s="96" t="s">
        <v>18</v>
      </c>
      <c r="G104" s="42" t="s">
        <v>11</v>
      </c>
      <c r="H104" s="43">
        <v>4009455</v>
      </c>
      <c r="I104" s="43" t="s">
        <v>12</v>
      </c>
      <c r="J104" s="44">
        <v>46066</v>
      </c>
      <c r="K104" s="45">
        <v>0.105</v>
      </c>
      <c r="L104" s="46">
        <f t="shared" si="26"/>
        <v>505827.97129333334</v>
      </c>
      <c r="M104" s="46">
        <f>1937883.52/4</f>
        <v>484470.88</v>
      </c>
      <c r="N104" s="47">
        <v>44774</v>
      </c>
      <c r="O104" s="47">
        <v>46204</v>
      </c>
      <c r="P104" s="7">
        <f t="shared" si="22"/>
        <v>7</v>
      </c>
      <c r="Q104" s="47">
        <v>47300</v>
      </c>
      <c r="R104" s="9"/>
    </row>
    <row r="105" spans="2:18" s="53" customFormat="1" x14ac:dyDescent="0.2">
      <c r="B105" s="43" t="s">
        <v>13</v>
      </c>
      <c r="C105" s="4" t="s">
        <v>63</v>
      </c>
      <c r="D105" s="43" t="s">
        <v>30</v>
      </c>
      <c r="E105" s="43" t="s">
        <v>15</v>
      </c>
      <c r="F105" s="96" t="s">
        <v>18</v>
      </c>
      <c r="G105" s="42" t="s">
        <v>19</v>
      </c>
      <c r="H105" s="43">
        <v>4009455</v>
      </c>
      <c r="I105" s="43" t="s">
        <v>12</v>
      </c>
      <c r="J105" s="44">
        <v>46066</v>
      </c>
      <c r="K105" s="45">
        <v>0.105</v>
      </c>
      <c r="L105" s="46">
        <f t="shared" si="26"/>
        <v>562315.93014888884</v>
      </c>
      <c r="M105" s="46">
        <f t="shared" ref="M105:M107" si="28">1937883.52/4</f>
        <v>484470.88</v>
      </c>
      <c r="N105" s="47">
        <v>44774</v>
      </c>
      <c r="O105" s="47">
        <v>46569</v>
      </c>
      <c r="P105" s="7">
        <f t="shared" si="22"/>
        <v>7</v>
      </c>
      <c r="Q105" s="47">
        <v>47300</v>
      </c>
      <c r="R105" s="9"/>
    </row>
    <row r="106" spans="2:18" s="53" customFormat="1" x14ac:dyDescent="0.2">
      <c r="B106" s="43" t="s">
        <v>13</v>
      </c>
      <c r="C106" s="4" t="s">
        <v>63</v>
      </c>
      <c r="D106" s="43" t="s">
        <v>30</v>
      </c>
      <c r="E106" s="43" t="s">
        <v>15</v>
      </c>
      <c r="F106" s="96" t="s">
        <v>18</v>
      </c>
      <c r="G106" s="42" t="s">
        <v>20</v>
      </c>
      <c r="H106" s="43">
        <v>4009455</v>
      </c>
      <c r="I106" s="43" t="s">
        <v>12</v>
      </c>
      <c r="J106" s="44">
        <v>46066</v>
      </c>
      <c r="K106" s="45">
        <v>0.105</v>
      </c>
      <c r="L106" s="46">
        <f t="shared" si="26"/>
        <v>618958.65053555556</v>
      </c>
      <c r="M106" s="46">
        <f t="shared" si="28"/>
        <v>484470.88</v>
      </c>
      <c r="N106" s="47">
        <v>44774</v>
      </c>
      <c r="O106" s="47">
        <v>46935</v>
      </c>
      <c r="P106" s="7">
        <f t="shared" si="22"/>
        <v>7</v>
      </c>
      <c r="Q106" s="47">
        <v>47300</v>
      </c>
      <c r="R106" s="9"/>
    </row>
    <row r="107" spans="2:18" s="53" customFormat="1" x14ac:dyDescent="0.2">
      <c r="B107" s="43" t="s">
        <v>13</v>
      </c>
      <c r="C107" s="4" t="s">
        <v>63</v>
      </c>
      <c r="D107" s="43" t="s">
        <v>30</v>
      </c>
      <c r="E107" s="43" t="s">
        <v>15</v>
      </c>
      <c r="F107" s="96" t="s">
        <v>18</v>
      </c>
      <c r="G107" s="42" t="s">
        <v>21</v>
      </c>
      <c r="H107" s="43">
        <v>4009455</v>
      </c>
      <c r="I107" s="43" t="s">
        <v>12</v>
      </c>
      <c r="J107" s="44">
        <v>46066</v>
      </c>
      <c r="K107" s="45">
        <v>0.105</v>
      </c>
      <c r="L107" s="46">
        <f t="shared" si="26"/>
        <v>675446.60939111107</v>
      </c>
      <c r="M107" s="46">
        <f t="shared" si="28"/>
        <v>484470.88</v>
      </c>
      <c r="N107" s="47">
        <v>44774</v>
      </c>
      <c r="O107" s="47">
        <v>47300</v>
      </c>
      <c r="P107" s="7">
        <f t="shared" si="22"/>
        <v>7</v>
      </c>
      <c r="Q107" s="47">
        <v>47300</v>
      </c>
      <c r="R107" s="9"/>
    </row>
    <row r="108" spans="2:18" s="53" customFormat="1" x14ac:dyDescent="0.2">
      <c r="B108" s="43" t="s">
        <v>13</v>
      </c>
      <c r="C108" s="4" t="s">
        <v>63</v>
      </c>
      <c r="D108" s="42" t="s">
        <v>31</v>
      </c>
      <c r="E108" s="42" t="s">
        <v>15</v>
      </c>
      <c r="F108" s="97" t="s">
        <v>18</v>
      </c>
      <c r="G108" s="48" t="s">
        <v>11</v>
      </c>
      <c r="H108" s="43">
        <v>4009709</v>
      </c>
      <c r="I108" s="48" t="s">
        <v>32</v>
      </c>
      <c r="J108" s="44">
        <v>46066</v>
      </c>
      <c r="K108" s="40">
        <v>0.11309651387355113</v>
      </c>
      <c r="L108" s="46">
        <f t="shared" si="26"/>
        <v>227468.80014599257</v>
      </c>
      <c r="M108" s="50">
        <f t="shared" ref="M108:M112" si="29">1039589.28/5</f>
        <v>207917.856</v>
      </c>
      <c r="N108" s="51">
        <v>45954</v>
      </c>
      <c r="O108" s="51">
        <v>46341</v>
      </c>
      <c r="P108" s="7">
        <f t="shared" si="22"/>
        <v>11</v>
      </c>
      <c r="Q108" s="51">
        <v>47802</v>
      </c>
      <c r="R108" s="9"/>
    </row>
    <row r="109" spans="2:18" s="53" customFormat="1" x14ac:dyDescent="0.2">
      <c r="B109" s="43" t="s">
        <v>13</v>
      </c>
      <c r="C109" s="4" t="s">
        <v>63</v>
      </c>
      <c r="D109" s="42" t="s">
        <v>31</v>
      </c>
      <c r="E109" s="42" t="s">
        <v>15</v>
      </c>
      <c r="F109" s="97" t="s">
        <v>18</v>
      </c>
      <c r="G109" s="48" t="s">
        <v>19</v>
      </c>
      <c r="H109" s="43">
        <v>4009709</v>
      </c>
      <c r="I109" s="48" t="s">
        <v>32</v>
      </c>
      <c r="J109" s="44">
        <v>46066</v>
      </c>
      <c r="K109" s="40">
        <v>0.11309651387355113</v>
      </c>
      <c r="L109" s="46">
        <f t="shared" si="26"/>
        <v>253418.23510340089</v>
      </c>
      <c r="M109" s="50">
        <f t="shared" si="29"/>
        <v>207917.856</v>
      </c>
      <c r="N109" s="51">
        <v>45954</v>
      </c>
      <c r="O109" s="51">
        <v>46706</v>
      </c>
      <c r="P109" s="7">
        <f t="shared" si="22"/>
        <v>11</v>
      </c>
      <c r="Q109" s="51">
        <v>47802</v>
      </c>
      <c r="R109" s="9"/>
    </row>
    <row r="110" spans="2:18" s="53" customFormat="1" x14ac:dyDescent="0.2">
      <c r="B110" s="43" t="s">
        <v>13</v>
      </c>
      <c r="C110" s="4" t="s">
        <v>63</v>
      </c>
      <c r="D110" s="42" t="s">
        <v>31</v>
      </c>
      <c r="E110" s="42" t="s">
        <v>15</v>
      </c>
      <c r="F110" s="97" t="s">
        <v>18</v>
      </c>
      <c r="G110" s="48" t="s">
        <v>20</v>
      </c>
      <c r="H110" s="43">
        <v>4009709</v>
      </c>
      <c r="I110" s="48" t="s">
        <v>32</v>
      </c>
      <c r="J110" s="44">
        <v>46066</v>
      </c>
      <c r="K110" s="40">
        <v>0.11309651387355113</v>
      </c>
      <c r="L110" s="46">
        <f t="shared" si="26"/>
        <v>279438.76440315827</v>
      </c>
      <c r="M110" s="50">
        <f t="shared" si="29"/>
        <v>207917.856</v>
      </c>
      <c r="N110" s="51">
        <v>45954</v>
      </c>
      <c r="O110" s="51">
        <v>47072</v>
      </c>
      <c r="P110" s="7">
        <f t="shared" si="22"/>
        <v>11</v>
      </c>
      <c r="Q110" s="51">
        <v>47802</v>
      </c>
      <c r="R110" s="9"/>
    </row>
    <row r="111" spans="2:18" s="53" customFormat="1" x14ac:dyDescent="0.2">
      <c r="B111" s="43" t="s">
        <v>13</v>
      </c>
      <c r="C111" s="4" t="s">
        <v>63</v>
      </c>
      <c r="D111" s="42" t="s">
        <v>31</v>
      </c>
      <c r="E111" s="42" t="s">
        <v>15</v>
      </c>
      <c r="F111" s="97" t="s">
        <v>18</v>
      </c>
      <c r="G111" s="48" t="s">
        <v>21</v>
      </c>
      <c r="H111" s="43">
        <v>4009709</v>
      </c>
      <c r="I111" s="48" t="s">
        <v>32</v>
      </c>
      <c r="J111" s="44">
        <v>46066</v>
      </c>
      <c r="K111" s="40">
        <v>0.11309651387355113</v>
      </c>
      <c r="L111" s="46">
        <f t="shared" si="26"/>
        <v>305388.19936056656</v>
      </c>
      <c r="M111" s="50">
        <f t="shared" si="29"/>
        <v>207917.856</v>
      </c>
      <c r="N111" s="51">
        <v>45954</v>
      </c>
      <c r="O111" s="51">
        <v>47437</v>
      </c>
      <c r="P111" s="7">
        <f t="shared" si="22"/>
        <v>11</v>
      </c>
      <c r="Q111" s="51">
        <v>47802</v>
      </c>
      <c r="R111" s="9"/>
    </row>
    <row r="112" spans="2:18" s="53" customFormat="1" x14ac:dyDescent="0.2">
      <c r="B112" s="43" t="s">
        <v>13</v>
      </c>
      <c r="C112" s="4" t="s">
        <v>63</v>
      </c>
      <c r="D112" s="42" t="s">
        <v>31</v>
      </c>
      <c r="E112" s="42" t="s">
        <v>15</v>
      </c>
      <c r="F112" s="97" t="s">
        <v>18</v>
      </c>
      <c r="G112" s="48" t="s">
        <v>22</v>
      </c>
      <c r="H112" s="43">
        <v>4009709</v>
      </c>
      <c r="I112" s="48" t="s">
        <v>32</v>
      </c>
      <c r="J112" s="44">
        <v>46066</v>
      </c>
      <c r="K112" s="40">
        <v>0.11309651387355113</v>
      </c>
      <c r="L112" s="46">
        <f t="shared" si="26"/>
        <v>331337.63431797491</v>
      </c>
      <c r="M112" s="50">
        <f t="shared" si="29"/>
        <v>207917.856</v>
      </c>
      <c r="N112" s="51">
        <v>45954</v>
      </c>
      <c r="O112" s="51">
        <v>47802</v>
      </c>
      <c r="P112" s="7">
        <f t="shared" si="22"/>
        <v>11</v>
      </c>
      <c r="Q112" s="51">
        <v>47802</v>
      </c>
      <c r="R112" s="9"/>
    </row>
    <row r="113" spans="2:18" s="53" customFormat="1" x14ac:dyDescent="0.2">
      <c r="B113" s="43" t="s">
        <v>13</v>
      </c>
      <c r="C113" s="4" t="s">
        <v>63</v>
      </c>
      <c r="D113" s="42" t="s">
        <v>31</v>
      </c>
      <c r="E113" s="42" t="s">
        <v>15</v>
      </c>
      <c r="F113" s="97" t="s">
        <v>18</v>
      </c>
      <c r="G113" s="48" t="s">
        <v>19</v>
      </c>
      <c r="H113" s="43">
        <v>4009712</v>
      </c>
      <c r="I113" s="48" t="s">
        <v>32</v>
      </c>
      <c r="J113" s="44">
        <v>46066</v>
      </c>
      <c r="K113" s="40">
        <v>0.11309651387355113</v>
      </c>
      <c r="L113" s="46">
        <f t="shared" si="26"/>
        <v>226829.65578690366</v>
      </c>
      <c r="M113" s="50">
        <f t="shared" ref="M113:M117" si="30">1021660.41/5</f>
        <v>204332.08199999999</v>
      </c>
      <c r="N113" s="51">
        <v>45994</v>
      </c>
      <c r="O113" s="51">
        <v>46388</v>
      </c>
      <c r="P113" s="7">
        <f t="shared" si="22"/>
        <v>1</v>
      </c>
      <c r="Q113" s="51">
        <v>47849</v>
      </c>
      <c r="R113" s="9"/>
    </row>
    <row r="114" spans="2:18" s="53" customFormat="1" x14ac:dyDescent="0.2">
      <c r="B114" s="43" t="s">
        <v>13</v>
      </c>
      <c r="C114" s="4" t="s">
        <v>63</v>
      </c>
      <c r="D114" s="42" t="s">
        <v>31</v>
      </c>
      <c r="E114" s="42" t="s">
        <v>15</v>
      </c>
      <c r="F114" s="97" t="s">
        <v>18</v>
      </c>
      <c r="G114" s="48" t="s">
        <v>54</v>
      </c>
      <c r="H114" s="43">
        <v>4009712</v>
      </c>
      <c r="I114" s="48" t="s">
        <v>32</v>
      </c>
      <c r="J114" s="44">
        <v>46066</v>
      </c>
      <c r="K114" s="40">
        <v>0.11309651387355113</v>
      </c>
      <c r="L114" s="46">
        <f t="shared" si="26"/>
        <v>252331.56396149943</v>
      </c>
      <c r="M114" s="50">
        <f t="shared" si="30"/>
        <v>204332.08199999999</v>
      </c>
      <c r="N114" s="51">
        <v>45994</v>
      </c>
      <c r="O114" s="51">
        <v>46753</v>
      </c>
      <c r="P114" s="7">
        <f t="shared" si="22"/>
        <v>1</v>
      </c>
      <c r="Q114" s="51">
        <v>47849</v>
      </c>
      <c r="R114" s="9"/>
    </row>
    <row r="115" spans="2:18" s="53" customFormat="1" x14ac:dyDescent="0.2">
      <c r="B115" s="43" t="s">
        <v>13</v>
      </c>
      <c r="C115" s="4" t="s">
        <v>63</v>
      </c>
      <c r="D115" s="42" t="s">
        <v>31</v>
      </c>
      <c r="E115" s="42" t="s">
        <v>15</v>
      </c>
      <c r="F115" s="97" t="s">
        <v>18</v>
      </c>
      <c r="G115" s="48" t="s">
        <v>21</v>
      </c>
      <c r="H115" s="43">
        <v>4009712</v>
      </c>
      <c r="I115" s="48" t="s">
        <v>32</v>
      </c>
      <c r="J115" s="44">
        <v>46066</v>
      </c>
      <c r="K115" s="40">
        <v>0.11309651387355113</v>
      </c>
      <c r="L115" s="46">
        <f t="shared" si="26"/>
        <v>277903.34037766943</v>
      </c>
      <c r="M115" s="50">
        <f t="shared" si="30"/>
        <v>204332.08199999999</v>
      </c>
      <c r="N115" s="51">
        <v>45994</v>
      </c>
      <c r="O115" s="51">
        <v>47119</v>
      </c>
      <c r="P115" s="7">
        <f t="shared" si="22"/>
        <v>1</v>
      </c>
      <c r="Q115" s="51">
        <v>47849</v>
      </c>
      <c r="R115" s="9"/>
    </row>
    <row r="116" spans="2:18" s="53" customFormat="1" x14ac:dyDescent="0.2">
      <c r="B116" s="43" t="s">
        <v>13</v>
      </c>
      <c r="C116" s="4" t="s">
        <v>63</v>
      </c>
      <c r="D116" s="42" t="s">
        <v>31</v>
      </c>
      <c r="E116" s="42" t="s">
        <v>15</v>
      </c>
      <c r="F116" s="97" t="s">
        <v>18</v>
      </c>
      <c r="G116" s="48" t="s">
        <v>22</v>
      </c>
      <c r="H116" s="43">
        <v>4009712</v>
      </c>
      <c r="I116" s="48" t="s">
        <v>32</v>
      </c>
      <c r="J116" s="44">
        <v>46066</v>
      </c>
      <c r="K116" s="40">
        <v>0.11309651387355113</v>
      </c>
      <c r="L116" s="46">
        <f t="shared" si="26"/>
        <v>303405.24855226517</v>
      </c>
      <c r="M116" s="50">
        <f t="shared" si="30"/>
        <v>204332.08199999999</v>
      </c>
      <c r="N116" s="51">
        <v>45994</v>
      </c>
      <c r="O116" s="51">
        <v>47484</v>
      </c>
      <c r="P116" s="7">
        <f t="shared" si="22"/>
        <v>1</v>
      </c>
      <c r="Q116" s="51">
        <v>47849</v>
      </c>
      <c r="R116" s="9"/>
    </row>
    <row r="117" spans="2:18" s="41" customFormat="1" x14ac:dyDescent="0.2">
      <c r="B117" s="43" t="s">
        <v>13</v>
      </c>
      <c r="C117" s="4" t="s">
        <v>63</v>
      </c>
      <c r="D117" s="42" t="s">
        <v>31</v>
      </c>
      <c r="E117" s="42" t="s">
        <v>15</v>
      </c>
      <c r="F117" s="97" t="s">
        <v>18</v>
      </c>
      <c r="G117" s="48" t="s">
        <v>23</v>
      </c>
      <c r="H117" s="43">
        <v>4009712</v>
      </c>
      <c r="I117" s="48" t="s">
        <v>32</v>
      </c>
      <c r="J117" s="44">
        <v>46066</v>
      </c>
      <c r="K117" s="40">
        <v>0.11309651387355113</v>
      </c>
      <c r="L117" s="46">
        <f t="shared" si="26"/>
        <v>328907.15672686091</v>
      </c>
      <c r="M117" s="50">
        <f t="shared" si="30"/>
        <v>204332.08199999999</v>
      </c>
      <c r="N117" s="51">
        <v>45994</v>
      </c>
      <c r="O117" s="51">
        <v>47849</v>
      </c>
      <c r="P117" s="7">
        <f t="shared" si="22"/>
        <v>1</v>
      </c>
      <c r="Q117" s="51">
        <v>47849</v>
      </c>
      <c r="R117" s="9"/>
    </row>
    <row r="118" spans="2:18" s="53" customFormat="1" x14ac:dyDescent="0.2">
      <c r="B118" s="43" t="s">
        <v>13</v>
      </c>
      <c r="C118" s="4" t="s">
        <v>63</v>
      </c>
      <c r="D118" s="42" t="s">
        <v>31</v>
      </c>
      <c r="E118" s="42" t="s">
        <v>15</v>
      </c>
      <c r="F118" s="97" t="s">
        <v>18</v>
      </c>
      <c r="G118" s="48" t="s">
        <v>11</v>
      </c>
      <c r="H118" s="43">
        <v>130808131</v>
      </c>
      <c r="I118" s="48" t="s">
        <v>32</v>
      </c>
      <c r="J118" s="44">
        <v>46066</v>
      </c>
      <c r="K118" s="49">
        <v>0.13700000000000001</v>
      </c>
      <c r="L118" s="46">
        <f t="shared" si="26"/>
        <v>620851.44256031257</v>
      </c>
      <c r="M118" s="50">
        <f t="shared" ref="M118:M121" si="31">2326647.87/4</f>
        <v>581661.96750000003</v>
      </c>
      <c r="N118" s="51">
        <v>45885</v>
      </c>
      <c r="O118" s="51">
        <v>46231</v>
      </c>
      <c r="P118" s="7">
        <f t="shared" si="22"/>
        <v>7</v>
      </c>
      <c r="Q118" s="51">
        <v>47327</v>
      </c>
      <c r="R118" s="9"/>
    </row>
    <row r="119" spans="2:18" s="53" customFormat="1" x14ac:dyDescent="0.2">
      <c r="B119" s="43" t="s">
        <v>13</v>
      </c>
      <c r="C119" s="4" t="s">
        <v>63</v>
      </c>
      <c r="D119" s="42" t="s">
        <v>31</v>
      </c>
      <c r="E119" s="42" t="s">
        <v>15</v>
      </c>
      <c r="F119" s="97" t="s">
        <v>18</v>
      </c>
      <c r="G119" s="48" t="s">
        <v>19</v>
      </c>
      <c r="H119" s="43">
        <v>130808131</v>
      </c>
      <c r="I119" s="48" t="s">
        <v>32</v>
      </c>
      <c r="J119" s="44">
        <v>46066</v>
      </c>
      <c r="K119" s="49">
        <v>0.13700000000000001</v>
      </c>
      <c r="L119" s="46">
        <f t="shared" si="26"/>
        <v>707543.31163312506</v>
      </c>
      <c r="M119" s="50">
        <f t="shared" si="31"/>
        <v>581661.96750000003</v>
      </c>
      <c r="N119" s="51">
        <v>45886</v>
      </c>
      <c r="O119" s="51">
        <v>46596</v>
      </c>
      <c r="P119" s="7">
        <f t="shared" si="22"/>
        <v>7</v>
      </c>
      <c r="Q119" s="51">
        <v>47327</v>
      </c>
      <c r="R119" s="9"/>
    </row>
    <row r="120" spans="2:18" s="41" customFormat="1" x14ac:dyDescent="0.2">
      <c r="B120" s="43" t="s">
        <v>13</v>
      </c>
      <c r="C120" s="4" t="s">
        <v>63</v>
      </c>
      <c r="D120" s="42" t="s">
        <v>31</v>
      </c>
      <c r="E120" s="42" t="s">
        <v>15</v>
      </c>
      <c r="F120" s="97" t="s">
        <v>18</v>
      </c>
      <c r="G120" s="48" t="s">
        <v>20</v>
      </c>
      <c r="H120" s="43">
        <v>130808131</v>
      </c>
      <c r="I120" s="48" t="s">
        <v>32</v>
      </c>
      <c r="J120" s="44">
        <v>46066</v>
      </c>
      <c r="K120" s="49">
        <v>0.13700000000000001</v>
      </c>
      <c r="L120" s="46">
        <f t="shared" si="26"/>
        <v>794472.69267600006</v>
      </c>
      <c r="M120" s="50">
        <f t="shared" si="31"/>
        <v>581661.96750000003</v>
      </c>
      <c r="N120" s="51">
        <v>45887</v>
      </c>
      <c r="O120" s="51">
        <v>46962</v>
      </c>
      <c r="P120" s="7">
        <f t="shared" si="22"/>
        <v>7</v>
      </c>
      <c r="Q120" s="51">
        <v>47327</v>
      </c>
      <c r="R120" s="9"/>
    </row>
    <row r="121" spans="2:18" s="41" customFormat="1" x14ac:dyDescent="0.2">
      <c r="B121" s="43" t="s">
        <v>13</v>
      </c>
      <c r="C121" s="4" t="s">
        <v>63</v>
      </c>
      <c r="D121" s="42" t="s">
        <v>31</v>
      </c>
      <c r="E121" s="42" t="s">
        <v>15</v>
      </c>
      <c r="F121" s="97" t="s">
        <v>18</v>
      </c>
      <c r="G121" s="48" t="s">
        <v>21</v>
      </c>
      <c r="H121" s="43">
        <v>130808131</v>
      </c>
      <c r="I121" s="48" t="s">
        <v>32</v>
      </c>
      <c r="J121" s="44">
        <v>46066</v>
      </c>
      <c r="K121" s="49">
        <v>0.13700000000000001</v>
      </c>
      <c r="L121" s="46">
        <f t="shared" si="26"/>
        <v>881164.56174881267</v>
      </c>
      <c r="M121" s="50">
        <f t="shared" si="31"/>
        <v>581661.96750000003</v>
      </c>
      <c r="N121" s="51">
        <v>45888</v>
      </c>
      <c r="O121" s="51">
        <v>47327</v>
      </c>
      <c r="P121" s="7">
        <f t="shared" si="22"/>
        <v>7</v>
      </c>
      <c r="Q121" s="51">
        <v>47327</v>
      </c>
      <c r="R121" s="9"/>
    </row>
    <row r="122" spans="2:18" s="41" customFormat="1" x14ac:dyDescent="0.2">
      <c r="B122" s="43" t="s">
        <v>13</v>
      </c>
      <c r="C122" s="4" t="s">
        <v>63</v>
      </c>
      <c r="D122" s="42" t="s">
        <v>31</v>
      </c>
      <c r="E122" s="42" t="s">
        <v>15</v>
      </c>
      <c r="F122" s="97" t="s">
        <v>18</v>
      </c>
      <c r="G122" s="48" t="s">
        <v>11</v>
      </c>
      <c r="H122" s="43">
        <v>130808610</v>
      </c>
      <c r="I122" s="48" t="s">
        <v>32</v>
      </c>
      <c r="J122" s="44">
        <v>46066</v>
      </c>
      <c r="K122" s="49">
        <v>0.13250000000000001</v>
      </c>
      <c r="L122" s="46">
        <f t="shared" si="26"/>
        <v>235703.16310078127</v>
      </c>
      <c r="M122" s="50">
        <f t="shared" ref="M122:M125" si="32">885010.41/4</f>
        <v>221252.60250000001</v>
      </c>
      <c r="N122" s="51">
        <v>45889</v>
      </c>
      <c r="O122" s="51">
        <v>46231</v>
      </c>
      <c r="P122" s="7">
        <f t="shared" si="22"/>
        <v>7</v>
      </c>
      <c r="Q122" s="51">
        <v>46231</v>
      </c>
      <c r="R122" s="9"/>
    </row>
    <row r="123" spans="2:18" s="41" customFormat="1" x14ac:dyDescent="0.2">
      <c r="B123" s="43" t="s">
        <v>13</v>
      </c>
      <c r="C123" s="4" t="s">
        <v>63</v>
      </c>
      <c r="D123" s="42" t="s">
        <v>31</v>
      </c>
      <c r="E123" s="42" t="s">
        <v>15</v>
      </c>
      <c r="F123" s="97" t="s">
        <v>18</v>
      </c>
      <c r="G123" s="48" t="s">
        <v>19</v>
      </c>
      <c r="H123" s="43">
        <v>130808610</v>
      </c>
      <c r="I123" s="48" t="s">
        <v>32</v>
      </c>
      <c r="J123" s="44">
        <v>46066</v>
      </c>
      <c r="K123" s="49">
        <v>0.13250000000000001</v>
      </c>
      <c r="L123" s="46">
        <f t="shared" si="26"/>
        <v>267669.55473281251</v>
      </c>
      <c r="M123" s="50">
        <f t="shared" si="32"/>
        <v>221252.60250000001</v>
      </c>
      <c r="N123" s="51">
        <v>45890</v>
      </c>
      <c r="O123" s="51">
        <v>46596</v>
      </c>
      <c r="P123" s="7">
        <f t="shared" si="22"/>
        <v>7</v>
      </c>
      <c r="Q123" s="51">
        <v>46596</v>
      </c>
      <c r="R123" s="9"/>
    </row>
    <row r="124" spans="2:18" s="41" customFormat="1" x14ac:dyDescent="0.2">
      <c r="B124" s="43" t="s">
        <v>13</v>
      </c>
      <c r="C124" s="4" t="s">
        <v>63</v>
      </c>
      <c r="D124" s="42" t="s">
        <v>31</v>
      </c>
      <c r="E124" s="42" t="s">
        <v>15</v>
      </c>
      <c r="F124" s="97" t="s">
        <v>18</v>
      </c>
      <c r="G124" s="48" t="s">
        <v>20</v>
      </c>
      <c r="H124" s="43">
        <v>130808610</v>
      </c>
      <c r="I124" s="48" t="s">
        <v>32</v>
      </c>
      <c r="J124" s="44">
        <v>46066</v>
      </c>
      <c r="K124" s="49">
        <v>0.13250000000000001</v>
      </c>
      <c r="L124" s="46">
        <f t="shared" si="26"/>
        <v>299723.52552000002</v>
      </c>
      <c r="M124" s="50">
        <f t="shared" si="32"/>
        <v>221252.60250000001</v>
      </c>
      <c r="N124" s="51">
        <v>45891</v>
      </c>
      <c r="O124" s="51">
        <v>46962</v>
      </c>
      <c r="P124" s="7">
        <f t="shared" si="22"/>
        <v>7</v>
      </c>
      <c r="Q124" s="51">
        <v>46962</v>
      </c>
      <c r="R124" s="9"/>
    </row>
    <row r="125" spans="2:18" s="41" customFormat="1" x14ac:dyDescent="0.2">
      <c r="B125" s="43" t="s">
        <v>13</v>
      </c>
      <c r="C125" s="4" t="s">
        <v>63</v>
      </c>
      <c r="D125" s="42" t="s">
        <v>31</v>
      </c>
      <c r="E125" s="42" t="s">
        <v>15</v>
      </c>
      <c r="F125" s="97" t="s">
        <v>18</v>
      </c>
      <c r="G125" s="48" t="s">
        <v>21</v>
      </c>
      <c r="H125" s="43">
        <v>130808610</v>
      </c>
      <c r="I125" s="48" t="s">
        <v>32</v>
      </c>
      <c r="J125" s="44">
        <v>46066</v>
      </c>
      <c r="K125" s="49">
        <v>0.13250000000000001</v>
      </c>
      <c r="L125" s="46">
        <f t="shared" si="26"/>
        <v>331689.91715203127</v>
      </c>
      <c r="M125" s="50">
        <f t="shared" si="32"/>
        <v>221252.60250000001</v>
      </c>
      <c r="N125" s="51">
        <v>45892</v>
      </c>
      <c r="O125" s="51">
        <v>47327</v>
      </c>
      <c r="P125" s="7">
        <f t="shared" si="22"/>
        <v>7</v>
      </c>
      <c r="Q125" s="51">
        <v>47327</v>
      </c>
      <c r="R125" s="9"/>
    </row>
    <row r="126" spans="2:18" x14ac:dyDescent="0.2">
      <c r="B126" s="5" t="s">
        <v>13</v>
      </c>
      <c r="C126" s="5" t="s">
        <v>63</v>
      </c>
      <c r="D126" s="5" t="s">
        <v>38</v>
      </c>
      <c r="E126" s="5" t="s">
        <v>15</v>
      </c>
      <c r="F126" s="5" t="s">
        <v>10</v>
      </c>
      <c r="G126" s="5" t="s">
        <v>11</v>
      </c>
      <c r="H126" s="5">
        <v>130809161</v>
      </c>
      <c r="I126" s="5" t="s">
        <v>39</v>
      </c>
      <c r="J126" s="6">
        <v>46066</v>
      </c>
      <c r="K126" s="28">
        <v>0.16</v>
      </c>
      <c r="L126" s="23">
        <f t="shared" si="26"/>
        <v>2592924.1430533333</v>
      </c>
      <c r="M126" s="31">
        <v>2341886.88</v>
      </c>
      <c r="N126" s="8">
        <v>45922</v>
      </c>
      <c r="O126" s="8">
        <v>46293</v>
      </c>
      <c r="P126" s="7">
        <f t="shared" si="22"/>
        <v>9</v>
      </c>
      <c r="Q126" s="8">
        <v>46293</v>
      </c>
    </row>
    <row r="127" spans="2:18" x14ac:dyDescent="0.2">
      <c r="B127" s="5" t="s">
        <v>16</v>
      </c>
      <c r="C127" s="5" t="s">
        <v>63</v>
      </c>
      <c r="D127" s="4" t="s">
        <v>17</v>
      </c>
      <c r="E127" s="4" t="s">
        <v>17</v>
      </c>
      <c r="F127" s="95" t="s">
        <v>18</v>
      </c>
      <c r="G127" s="12" t="s">
        <v>11</v>
      </c>
      <c r="H127" s="55">
        <v>2328487</v>
      </c>
      <c r="I127" s="56" t="s">
        <v>12</v>
      </c>
      <c r="J127" s="57">
        <v>46066</v>
      </c>
      <c r="K127" s="58">
        <v>0.115</v>
      </c>
      <c r="L127" s="59">
        <v>1468690.65</v>
      </c>
      <c r="M127" s="23">
        <f t="shared" ref="M127:M132" si="33">5750281.82/6</f>
        <v>958380.30333333334</v>
      </c>
      <c r="N127" s="8">
        <v>45749</v>
      </c>
      <c r="O127" s="8">
        <v>46098</v>
      </c>
      <c r="P127" s="7">
        <f t="shared" si="22"/>
        <v>3</v>
      </c>
      <c r="Q127" s="8">
        <v>47924</v>
      </c>
    </row>
    <row r="128" spans="2:18" x14ac:dyDescent="0.2">
      <c r="B128" s="5" t="s">
        <v>16</v>
      </c>
      <c r="C128" s="5" t="s">
        <v>63</v>
      </c>
      <c r="D128" s="4" t="s">
        <v>17</v>
      </c>
      <c r="E128" s="4" t="s">
        <v>17</v>
      </c>
      <c r="F128" s="95" t="s">
        <v>18</v>
      </c>
      <c r="G128" s="5" t="s">
        <v>19</v>
      </c>
      <c r="H128" s="55">
        <v>2328487</v>
      </c>
      <c r="I128" s="55" t="s">
        <v>12</v>
      </c>
      <c r="J128" s="57">
        <v>46066</v>
      </c>
      <c r="K128" s="54">
        <v>0.115</v>
      </c>
      <c r="L128" s="59">
        <v>1364083.71</v>
      </c>
      <c r="M128" s="23">
        <f t="shared" si="33"/>
        <v>958380.30333333334</v>
      </c>
      <c r="N128" s="8">
        <v>45749</v>
      </c>
      <c r="O128" s="8">
        <v>46463</v>
      </c>
      <c r="P128" s="7">
        <f t="shared" si="22"/>
        <v>3</v>
      </c>
      <c r="Q128" s="8">
        <v>47924</v>
      </c>
    </row>
    <row r="129" spans="2:17" x14ac:dyDescent="0.2">
      <c r="B129" s="5" t="s">
        <v>16</v>
      </c>
      <c r="C129" s="5" t="s">
        <v>63</v>
      </c>
      <c r="D129" s="4" t="s">
        <v>17</v>
      </c>
      <c r="E129" s="4" t="s">
        <v>17</v>
      </c>
      <c r="F129" s="95" t="s">
        <v>18</v>
      </c>
      <c r="G129" s="5" t="s">
        <v>20</v>
      </c>
      <c r="H129" s="55">
        <v>2328487</v>
      </c>
      <c r="I129" s="55" t="s">
        <v>12</v>
      </c>
      <c r="J129" s="57">
        <v>46066</v>
      </c>
      <c r="K129" s="54">
        <v>0.115</v>
      </c>
      <c r="L129" s="59">
        <v>1266737</v>
      </c>
      <c r="M129" s="23">
        <f t="shared" si="33"/>
        <v>958380.30333333334</v>
      </c>
      <c r="N129" s="8">
        <v>45749</v>
      </c>
      <c r="O129" s="8">
        <v>46829</v>
      </c>
      <c r="P129" s="7">
        <f t="shared" si="22"/>
        <v>3</v>
      </c>
      <c r="Q129" s="8">
        <v>47924</v>
      </c>
    </row>
    <row r="130" spans="2:17" x14ac:dyDescent="0.2">
      <c r="B130" s="5" t="s">
        <v>16</v>
      </c>
      <c r="C130" s="5" t="s">
        <v>63</v>
      </c>
      <c r="D130" s="4" t="s">
        <v>17</v>
      </c>
      <c r="E130" s="4" t="s">
        <v>17</v>
      </c>
      <c r="F130" s="95" t="s">
        <v>18</v>
      </c>
      <c r="G130" s="5" t="s">
        <v>21</v>
      </c>
      <c r="H130" s="55">
        <v>2328487</v>
      </c>
      <c r="I130" s="55" t="s">
        <v>12</v>
      </c>
      <c r="J130" s="57">
        <v>46066</v>
      </c>
      <c r="K130" s="54">
        <v>0.115</v>
      </c>
      <c r="L130" s="59">
        <v>1165427.4099999999</v>
      </c>
      <c r="M130" s="23">
        <f t="shared" si="33"/>
        <v>958380.30333333334</v>
      </c>
      <c r="N130" s="8">
        <v>45749</v>
      </c>
      <c r="O130" s="8">
        <v>47194</v>
      </c>
      <c r="P130" s="7">
        <f t="shared" si="22"/>
        <v>3</v>
      </c>
      <c r="Q130" s="8">
        <v>47924</v>
      </c>
    </row>
    <row r="131" spans="2:17" x14ac:dyDescent="0.2">
      <c r="B131" s="5" t="s">
        <v>16</v>
      </c>
      <c r="C131" s="5" t="s">
        <v>63</v>
      </c>
      <c r="D131" s="4" t="s">
        <v>17</v>
      </c>
      <c r="E131" s="4" t="s">
        <v>17</v>
      </c>
      <c r="F131" s="95" t="s">
        <v>18</v>
      </c>
      <c r="G131" s="5" t="s">
        <v>22</v>
      </c>
      <c r="H131" s="55">
        <v>2328487</v>
      </c>
      <c r="I131" s="55" t="s">
        <v>12</v>
      </c>
      <c r="J131" s="57">
        <v>46066</v>
      </c>
      <c r="K131" s="54">
        <v>0.115</v>
      </c>
      <c r="L131" s="59">
        <v>1006410</v>
      </c>
      <c r="M131" s="23">
        <f t="shared" si="33"/>
        <v>958380.30333333334</v>
      </c>
      <c r="N131" s="8">
        <v>45749</v>
      </c>
      <c r="O131" s="8">
        <v>47559</v>
      </c>
      <c r="P131" s="7">
        <f t="shared" si="22"/>
        <v>3</v>
      </c>
      <c r="Q131" s="8">
        <v>47924</v>
      </c>
    </row>
    <row r="132" spans="2:17" x14ac:dyDescent="0.2">
      <c r="B132" s="5" t="s">
        <v>16</v>
      </c>
      <c r="C132" s="5" t="s">
        <v>63</v>
      </c>
      <c r="D132" s="4" t="s">
        <v>17</v>
      </c>
      <c r="E132" s="4" t="s">
        <v>17</v>
      </c>
      <c r="F132" s="95" t="s">
        <v>18</v>
      </c>
      <c r="G132" s="5" t="s">
        <v>23</v>
      </c>
      <c r="H132" s="55">
        <v>2328487</v>
      </c>
      <c r="I132" s="55" t="s">
        <v>12</v>
      </c>
      <c r="J132" s="57">
        <v>46066</v>
      </c>
      <c r="K132" s="54">
        <v>0.115</v>
      </c>
      <c r="L132" s="59">
        <v>967281.78</v>
      </c>
      <c r="M132" s="23">
        <f t="shared" si="33"/>
        <v>958380.30333333334</v>
      </c>
      <c r="N132" s="8">
        <v>45749</v>
      </c>
      <c r="O132" s="8">
        <v>47924</v>
      </c>
      <c r="P132" s="7">
        <f t="shared" ref="P132:P190" si="34">MONTH(O132)</f>
        <v>3</v>
      </c>
      <c r="Q132" s="8">
        <v>47924</v>
      </c>
    </row>
    <row r="133" spans="2:17" x14ac:dyDescent="0.2">
      <c r="B133" s="5" t="s">
        <v>7</v>
      </c>
      <c r="C133" s="5" t="s">
        <v>63</v>
      </c>
      <c r="D133" s="4" t="s">
        <v>17</v>
      </c>
      <c r="E133" s="4" t="s">
        <v>17</v>
      </c>
      <c r="F133" s="95" t="s">
        <v>18</v>
      </c>
      <c r="G133" s="5" t="s">
        <v>11</v>
      </c>
      <c r="H133" s="68">
        <v>2270939</v>
      </c>
      <c r="I133" s="68" t="s">
        <v>12</v>
      </c>
      <c r="J133" s="69">
        <v>46066</v>
      </c>
      <c r="K133" s="70">
        <v>0.16</v>
      </c>
      <c r="L133" s="71">
        <v>229970.2</v>
      </c>
      <c r="M133" s="23">
        <f t="shared" ref="M133:M135" si="35">554637.57/3</f>
        <v>184879.18999999997</v>
      </c>
      <c r="N133" s="8">
        <v>45265</v>
      </c>
      <c r="O133" s="8">
        <v>46257</v>
      </c>
      <c r="P133" s="7">
        <f t="shared" si="34"/>
        <v>8</v>
      </c>
      <c r="Q133" s="8">
        <v>46988</v>
      </c>
    </row>
    <row r="134" spans="2:17" x14ac:dyDescent="0.2">
      <c r="B134" s="5" t="s">
        <v>7</v>
      </c>
      <c r="C134" s="5" t="s">
        <v>63</v>
      </c>
      <c r="D134" s="4" t="s">
        <v>17</v>
      </c>
      <c r="E134" s="4" t="s">
        <v>17</v>
      </c>
      <c r="F134" s="95" t="s">
        <v>18</v>
      </c>
      <c r="G134" s="5" t="s">
        <v>19</v>
      </c>
      <c r="H134" s="68">
        <v>2270939</v>
      </c>
      <c r="I134" s="68" t="s">
        <v>12</v>
      </c>
      <c r="J134" s="69">
        <v>46066</v>
      </c>
      <c r="K134" s="70">
        <v>0.16</v>
      </c>
      <c r="L134" s="71">
        <v>229970.2</v>
      </c>
      <c r="M134" s="23">
        <f t="shared" si="35"/>
        <v>184879.18999999997</v>
      </c>
      <c r="N134" s="8">
        <v>45265</v>
      </c>
      <c r="O134" s="8">
        <v>46622</v>
      </c>
      <c r="P134" s="7">
        <f t="shared" si="34"/>
        <v>8</v>
      </c>
      <c r="Q134" s="8">
        <v>46988</v>
      </c>
    </row>
    <row r="135" spans="2:17" x14ac:dyDescent="0.2">
      <c r="B135" s="5" t="s">
        <v>7</v>
      </c>
      <c r="C135" s="5" t="s">
        <v>63</v>
      </c>
      <c r="D135" s="4" t="s">
        <v>17</v>
      </c>
      <c r="E135" s="4" t="s">
        <v>17</v>
      </c>
      <c r="F135" s="95" t="s">
        <v>18</v>
      </c>
      <c r="G135" s="5" t="s">
        <v>20</v>
      </c>
      <c r="H135" s="68">
        <v>2270939</v>
      </c>
      <c r="I135" s="68" t="s">
        <v>12</v>
      </c>
      <c r="J135" s="69">
        <v>46066</v>
      </c>
      <c r="K135" s="70">
        <v>0.16</v>
      </c>
      <c r="L135" s="71">
        <v>229970.2</v>
      </c>
      <c r="M135" s="23">
        <f t="shared" si="35"/>
        <v>184879.18999999997</v>
      </c>
      <c r="N135" s="8">
        <v>45265</v>
      </c>
      <c r="O135" s="8">
        <v>46988</v>
      </c>
      <c r="P135" s="7">
        <f t="shared" si="34"/>
        <v>8</v>
      </c>
      <c r="Q135" s="8">
        <v>46988</v>
      </c>
    </row>
    <row r="136" spans="2:17" x14ac:dyDescent="0.2">
      <c r="B136" s="5" t="s">
        <v>7</v>
      </c>
      <c r="C136" s="5" t="s">
        <v>63</v>
      </c>
      <c r="D136" s="4" t="s">
        <v>17</v>
      </c>
      <c r="E136" s="4" t="s">
        <v>17</v>
      </c>
      <c r="F136" s="95" t="s">
        <v>18</v>
      </c>
      <c r="G136" s="5" t="s">
        <v>22</v>
      </c>
      <c r="H136" s="60">
        <v>2341835</v>
      </c>
      <c r="I136" s="60" t="s">
        <v>12</v>
      </c>
      <c r="J136" s="61">
        <v>46066</v>
      </c>
      <c r="K136" s="62">
        <v>0.18</v>
      </c>
      <c r="L136" s="63">
        <v>368558.16</v>
      </c>
      <c r="M136" s="23">
        <f t="shared" ref="M136:M140" si="36">1290397.06/5</f>
        <v>258079.41200000001</v>
      </c>
      <c r="N136" s="8">
        <v>45807</v>
      </c>
      <c r="O136" s="8">
        <v>47618</v>
      </c>
      <c r="P136" s="7">
        <f t="shared" si="34"/>
        <v>5</v>
      </c>
      <c r="Q136" s="8">
        <v>47618</v>
      </c>
    </row>
    <row r="137" spans="2:17" x14ac:dyDescent="0.2">
      <c r="B137" s="5" t="s">
        <v>7</v>
      </c>
      <c r="C137" s="5" t="s">
        <v>63</v>
      </c>
      <c r="D137" s="4" t="s">
        <v>17</v>
      </c>
      <c r="E137" s="4" t="s">
        <v>17</v>
      </c>
      <c r="F137" s="95" t="s">
        <v>18</v>
      </c>
      <c r="G137" s="5" t="s">
        <v>21</v>
      </c>
      <c r="H137" s="60">
        <v>2341835</v>
      </c>
      <c r="I137" s="60" t="s">
        <v>12</v>
      </c>
      <c r="J137" s="61">
        <v>46066</v>
      </c>
      <c r="K137" s="62">
        <v>0.18</v>
      </c>
      <c r="L137" s="63">
        <v>368558.16</v>
      </c>
      <c r="M137" s="23">
        <f t="shared" si="36"/>
        <v>258079.41200000001</v>
      </c>
      <c r="N137" s="8">
        <v>45807</v>
      </c>
      <c r="O137" s="8">
        <v>47253</v>
      </c>
      <c r="P137" s="7">
        <f t="shared" si="34"/>
        <v>5</v>
      </c>
      <c r="Q137" s="8">
        <v>47618</v>
      </c>
    </row>
    <row r="138" spans="2:17" x14ac:dyDescent="0.2">
      <c r="B138" s="5" t="s">
        <v>7</v>
      </c>
      <c r="C138" s="5" t="s">
        <v>63</v>
      </c>
      <c r="D138" s="4" t="s">
        <v>17</v>
      </c>
      <c r="E138" s="4" t="s">
        <v>17</v>
      </c>
      <c r="F138" s="95" t="s">
        <v>18</v>
      </c>
      <c r="G138" s="5" t="s">
        <v>20</v>
      </c>
      <c r="H138" s="60">
        <v>2341835</v>
      </c>
      <c r="I138" s="60" t="s">
        <v>12</v>
      </c>
      <c r="J138" s="61">
        <v>46066</v>
      </c>
      <c r="K138" s="62">
        <v>0.18</v>
      </c>
      <c r="L138" s="63">
        <v>368558.16</v>
      </c>
      <c r="M138" s="23">
        <f t="shared" si="36"/>
        <v>258079.41200000001</v>
      </c>
      <c r="N138" s="8">
        <v>45807</v>
      </c>
      <c r="O138" s="8">
        <v>46888</v>
      </c>
      <c r="P138" s="7">
        <f t="shared" si="34"/>
        <v>5</v>
      </c>
      <c r="Q138" s="8">
        <v>47618</v>
      </c>
    </row>
    <row r="139" spans="2:17" x14ac:dyDescent="0.2">
      <c r="B139" s="5" t="s">
        <v>7</v>
      </c>
      <c r="C139" s="5" t="s">
        <v>63</v>
      </c>
      <c r="D139" s="4" t="s">
        <v>17</v>
      </c>
      <c r="E139" s="4" t="s">
        <v>17</v>
      </c>
      <c r="F139" s="95" t="s">
        <v>18</v>
      </c>
      <c r="G139" s="5" t="s">
        <v>19</v>
      </c>
      <c r="H139" s="60">
        <v>2341835</v>
      </c>
      <c r="I139" s="60" t="s">
        <v>12</v>
      </c>
      <c r="J139" s="61">
        <v>46066</v>
      </c>
      <c r="K139" s="62">
        <v>0.18</v>
      </c>
      <c r="L139" s="63">
        <v>368558.16</v>
      </c>
      <c r="M139" s="23">
        <f t="shared" si="36"/>
        <v>258079.41200000001</v>
      </c>
      <c r="N139" s="8">
        <v>45807</v>
      </c>
      <c r="O139" s="8">
        <v>46522</v>
      </c>
      <c r="P139" s="7">
        <f t="shared" si="34"/>
        <v>5</v>
      </c>
      <c r="Q139" s="8">
        <v>47618</v>
      </c>
    </row>
    <row r="140" spans="2:17" x14ac:dyDescent="0.2">
      <c r="B140" s="5" t="s">
        <v>7</v>
      </c>
      <c r="C140" s="5" t="s">
        <v>63</v>
      </c>
      <c r="D140" s="4" t="s">
        <v>17</v>
      </c>
      <c r="E140" s="4" t="s">
        <v>17</v>
      </c>
      <c r="F140" s="95" t="s">
        <v>18</v>
      </c>
      <c r="G140" s="5" t="s">
        <v>11</v>
      </c>
      <c r="H140" s="60">
        <v>2341835</v>
      </c>
      <c r="I140" s="60" t="s">
        <v>12</v>
      </c>
      <c r="J140" s="61">
        <v>46066</v>
      </c>
      <c r="K140" s="62">
        <v>0.18</v>
      </c>
      <c r="L140" s="63">
        <v>368558.16</v>
      </c>
      <c r="M140" s="23">
        <f t="shared" si="36"/>
        <v>258079.41200000001</v>
      </c>
      <c r="N140" s="8">
        <v>45807</v>
      </c>
      <c r="O140" s="8">
        <v>46157</v>
      </c>
      <c r="P140" s="7">
        <f t="shared" si="34"/>
        <v>5</v>
      </c>
      <c r="Q140" s="8">
        <v>47618</v>
      </c>
    </row>
    <row r="141" spans="2:17" x14ac:dyDescent="0.2">
      <c r="B141" s="5" t="s">
        <v>16</v>
      </c>
      <c r="C141" s="5" t="s">
        <v>63</v>
      </c>
      <c r="D141" s="4" t="s">
        <v>24</v>
      </c>
      <c r="E141" s="4" t="s">
        <v>15</v>
      </c>
      <c r="F141" s="95" t="s">
        <v>18</v>
      </c>
      <c r="G141" s="5" t="s">
        <v>11</v>
      </c>
      <c r="H141" s="4">
        <v>4007704</v>
      </c>
      <c r="I141" s="4" t="s">
        <v>12</v>
      </c>
      <c r="J141" s="6">
        <v>46066</v>
      </c>
      <c r="K141" s="26">
        <v>7.4999999999999997E-2</v>
      </c>
      <c r="L141" s="23">
        <f t="shared" ref="L141:L173" si="37">(((O141-J141)*M141*((K141+1%)/12)/30))+M141</f>
        <v>74127.803027777773</v>
      </c>
      <c r="M141" s="23">
        <f t="shared" ref="M141:M142" si="38">141570.34/2</f>
        <v>70785.17</v>
      </c>
      <c r="N141" s="8">
        <v>43000</v>
      </c>
      <c r="O141" s="8">
        <v>46266</v>
      </c>
      <c r="P141" s="7">
        <f t="shared" si="34"/>
        <v>9</v>
      </c>
      <c r="Q141" s="8">
        <v>46631</v>
      </c>
    </row>
    <row r="142" spans="2:17" x14ac:dyDescent="0.2">
      <c r="B142" s="5" t="s">
        <v>16</v>
      </c>
      <c r="C142" s="5" t="s">
        <v>63</v>
      </c>
      <c r="D142" s="4" t="s">
        <v>24</v>
      </c>
      <c r="E142" s="4" t="s">
        <v>15</v>
      </c>
      <c r="F142" s="95" t="s">
        <v>18</v>
      </c>
      <c r="G142" s="5" t="s">
        <v>19</v>
      </c>
      <c r="H142" s="4">
        <v>4007704</v>
      </c>
      <c r="I142" s="4" t="s">
        <v>12</v>
      </c>
      <c r="J142" s="6">
        <v>46066</v>
      </c>
      <c r="K142" s="26">
        <v>7.4999999999999997E-2</v>
      </c>
      <c r="L142" s="23">
        <f t="shared" si="37"/>
        <v>80228.108303472225</v>
      </c>
      <c r="M142" s="23">
        <f t="shared" si="38"/>
        <v>70785.17</v>
      </c>
      <c r="N142" s="8">
        <v>43000</v>
      </c>
      <c r="O142" s="8">
        <v>46631</v>
      </c>
      <c r="P142" s="7">
        <f t="shared" si="34"/>
        <v>9</v>
      </c>
      <c r="Q142" s="8">
        <v>46631</v>
      </c>
    </row>
    <row r="143" spans="2:17" x14ac:dyDescent="0.2">
      <c r="B143" s="5" t="s">
        <v>16</v>
      </c>
      <c r="C143" s="5" t="s">
        <v>63</v>
      </c>
      <c r="D143" s="4" t="s">
        <v>24</v>
      </c>
      <c r="E143" s="4" t="s">
        <v>15</v>
      </c>
      <c r="F143" s="95" t="s">
        <v>18</v>
      </c>
      <c r="G143" s="5" t="s">
        <v>11</v>
      </c>
      <c r="H143" s="4">
        <v>4008091</v>
      </c>
      <c r="I143" s="4" t="s">
        <v>12</v>
      </c>
      <c r="J143" s="6">
        <v>46066</v>
      </c>
      <c r="K143" s="26">
        <v>7.4999999999999997E-2</v>
      </c>
      <c r="L143" s="23">
        <f t="shared" si="37"/>
        <v>72980.57620949074</v>
      </c>
      <c r="M143" s="23">
        <f t="shared" ref="M143:M145" si="39">216538.75/3</f>
        <v>72179.583333333328</v>
      </c>
      <c r="N143" s="8">
        <v>43231</v>
      </c>
      <c r="O143" s="8">
        <v>46113</v>
      </c>
      <c r="P143" s="7">
        <f t="shared" si="34"/>
        <v>4</v>
      </c>
      <c r="Q143" s="8">
        <v>46844</v>
      </c>
    </row>
    <row r="144" spans="2:17" x14ac:dyDescent="0.2">
      <c r="B144" s="5" t="s">
        <v>16</v>
      </c>
      <c r="C144" s="5" t="s">
        <v>63</v>
      </c>
      <c r="D144" s="4" t="s">
        <v>24</v>
      </c>
      <c r="E144" s="4" t="s">
        <v>15</v>
      </c>
      <c r="F144" s="95" t="s">
        <v>18</v>
      </c>
      <c r="G144" s="5" t="s">
        <v>19</v>
      </c>
      <c r="H144" s="4">
        <v>4008091</v>
      </c>
      <c r="I144" s="4" t="s">
        <v>12</v>
      </c>
      <c r="J144" s="6">
        <v>46066</v>
      </c>
      <c r="K144" s="26">
        <v>7.4999999999999997E-2</v>
      </c>
      <c r="L144" s="23">
        <f t="shared" si="37"/>
        <v>79201.052800925914</v>
      </c>
      <c r="M144" s="23">
        <f t="shared" si="39"/>
        <v>72179.583333333328</v>
      </c>
      <c r="N144" s="8">
        <v>43231</v>
      </c>
      <c r="O144" s="8">
        <v>46478</v>
      </c>
      <c r="P144" s="7">
        <f t="shared" si="34"/>
        <v>4</v>
      </c>
      <c r="Q144" s="8">
        <v>46844</v>
      </c>
    </row>
    <row r="145" spans="2:17" x14ac:dyDescent="0.2">
      <c r="B145" s="5" t="s">
        <v>16</v>
      </c>
      <c r="C145" s="5" t="s">
        <v>63</v>
      </c>
      <c r="D145" s="4" t="s">
        <v>24</v>
      </c>
      <c r="E145" s="4" t="s">
        <v>15</v>
      </c>
      <c r="F145" s="95" t="s">
        <v>18</v>
      </c>
      <c r="G145" s="5" t="s">
        <v>20</v>
      </c>
      <c r="H145" s="4">
        <v>4008091</v>
      </c>
      <c r="I145" s="4" t="s">
        <v>12</v>
      </c>
      <c r="J145" s="6">
        <v>46066</v>
      </c>
      <c r="K145" s="26">
        <v>7.4999999999999997E-2</v>
      </c>
      <c r="L145" s="23">
        <f t="shared" si="37"/>
        <v>85438.571793981479</v>
      </c>
      <c r="M145" s="23">
        <f t="shared" si="39"/>
        <v>72179.583333333328</v>
      </c>
      <c r="N145" s="8">
        <v>43231</v>
      </c>
      <c r="O145" s="8">
        <v>46844</v>
      </c>
      <c r="P145" s="7">
        <f t="shared" si="34"/>
        <v>4</v>
      </c>
      <c r="Q145" s="8">
        <v>46844</v>
      </c>
    </row>
    <row r="146" spans="2:17" x14ac:dyDescent="0.2">
      <c r="B146" s="5" t="s">
        <v>16</v>
      </c>
      <c r="C146" s="5" t="s">
        <v>63</v>
      </c>
      <c r="D146" s="4" t="s">
        <v>24</v>
      </c>
      <c r="E146" s="4" t="s">
        <v>15</v>
      </c>
      <c r="F146" s="95" t="s">
        <v>18</v>
      </c>
      <c r="G146" s="5" t="s">
        <v>11</v>
      </c>
      <c r="H146" s="4">
        <v>4008209</v>
      </c>
      <c r="I146" s="4" t="s">
        <v>12</v>
      </c>
      <c r="J146" s="6">
        <v>46066</v>
      </c>
      <c r="K146" s="26">
        <v>7.4999999999999997E-2</v>
      </c>
      <c r="L146" s="23">
        <f t="shared" si="37"/>
        <v>156448.88283921298</v>
      </c>
      <c r="M146" s="23">
        <f t="shared" ref="M146:M148" si="40">460966.03/3</f>
        <v>153655.34333333335</v>
      </c>
      <c r="N146" s="8">
        <v>43280</v>
      </c>
      <c r="O146" s="8">
        <v>46143</v>
      </c>
      <c r="P146" s="7">
        <f t="shared" si="34"/>
        <v>5</v>
      </c>
      <c r="Q146" s="8">
        <v>46874</v>
      </c>
    </row>
    <row r="147" spans="2:17" x14ac:dyDescent="0.2">
      <c r="B147" s="5" t="s">
        <v>16</v>
      </c>
      <c r="C147" s="5" t="s">
        <v>63</v>
      </c>
      <c r="D147" s="4" t="s">
        <v>24</v>
      </c>
      <c r="E147" s="4" t="s">
        <v>15</v>
      </c>
      <c r="F147" s="95" t="s">
        <v>18</v>
      </c>
      <c r="G147" s="5" t="s">
        <v>19</v>
      </c>
      <c r="H147" s="4">
        <v>4008209</v>
      </c>
      <c r="I147" s="4" t="s">
        <v>12</v>
      </c>
      <c r="J147" s="6">
        <v>46066</v>
      </c>
      <c r="K147" s="26">
        <v>7.4999999999999997E-2</v>
      </c>
      <c r="L147" s="23">
        <f t="shared" si="37"/>
        <v>169690.98569175927</v>
      </c>
      <c r="M147" s="23">
        <f t="shared" si="40"/>
        <v>153655.34333333335</v>
      </c>
      <c r="N147" s="8">
        <v>43280</v>
      </c>
      <c r="O147" s="8">
        <v>46508</v>
      </c>
      <c r="P147" s="7">
        <f t="shared" si="34"/>
        <v>5</v>
      </c>
      <c r="Q147" s="8">
        <v>46874</v>
      </c>
    </row>
    <row r="148" spans="2:17" x14ac:dyDescent="0.2">
      <c r="B148" s="5" t="s">
        <v>16</v>
      </c>
      <c r="C148" s="5" t="s">
        <v>63</v>
      </c>
      <c r="D148" s="4" t="s">
        <v>24</v>
      </c>
      <c r="E148" s="4" t="s">
        <v>15</v>
      </c>
      <c r="F148" s="95" t="s">
        <v>18</v>
      </c>
      <c r="G148" s="5" t="s">
        <v>20</v>
      </c>
      <c r="H148" s="4">
        <v>4008209</v>
      </c>
      <c r="I148" s="4" t="s">
        <v>12</v>
      </c>
      <c r="J148" s="6">
        <v>46066</v>
      </c>
      <c r="K148" s="26">
        <v>7.4999999999999997E-2</v>
      </c>
      <c r="L148" s="23">
        <f t="shared" si="37"/>
        <v>182969.36827814818</v>
      </c>
      <c r="M148" s="23">
        <f t="shared" si="40"/>
        <v>153655.34333333335</v>
      </c>
      <c r="N148" s="8">
        <v>43280</v>
      </c>
      <c r="O148" s="8">
        <v>46874</v>
      </c>
      <c r="P148" s="7">
        <f t="shared" si="34"/>
        <v>5</v>
      </c>
      <c r="Q148" s="8">
        <v>46874</v>
      </c>
    </row>
    <row r="149" spans="2:17" x14ac:dyDescent="0.2">
      <c r="B149" s="5" t="s">
        <v>16</v>
      </c>
      <c r="C149" s="5" t="s">
        <v>63</v>
      </c>
      <c r="D149" s="4" t="s">
        <v>24</v>
      </c>
      <c r="E149" s="4" t="s">
        <v>15</v>
      </c>
      <c r="F149" s="95" t="s">
        <v>18</v>
      </c>
      <c r="G149" s="5" t="s">
        <v>11</v>
      </c>
      <c r="H149" s="4">
        <v>4008613</v>
      </c>
      <c r="I149" s="4" t="s">
        <v>12</v>
      </c>
      <c r="J149" s="6">
        <v>46066</v>
      </c>
      <c r="K149" s="26">
        <v>5.8599999999999999E-2</v>
      </c>
      <c r="L149" s="23">
        <f t="shared" si="37"/>
        <v>21625.581079488889</v>
      </c>
      <c r="M149" s="23">
        <f t="shared" ref="M149:M152" si="41">86239.39/4</f>
        <v>21559.8475</v>
      </c>
      <c r="N149" s="8">
        <v>43553</v>
      </c>
      <c r="O149" s="8">
        <v>46082</v>
      </c>
      <c r="P149" s="7">
        <f t="shared" si="34"/>
        <v>3</v>
      </c>
      <c r="Q149" s="8">
        <v>47178</v>
      </c>
    </row>
    <row r="150" spans="2:17" x14ac:dyDescent="0.2">
      <c r="B150" s="5" t="s">
        <v>16</v>
      </c>
      <c r="C150" s="5" t="s">
        <v>63</v>
      </c>
      <c r="D150" s="4" t="s">
        <v>24</v>
      </c>
      <c r="E150" s="4" t="s">
        <v>15</v>
      </c>
      <c r="F150" s="95" t="s">
        <v>18</v>
      </c>
      <c r="G150" s="5" t="s">
        <v>19</v>
      </c>
      <c r="H150" s="4">
        <v>4008613</v>
      </c>
      <c r="I150" s="4" t="s">
        <v>12</v>
      </c>
      <c r="J150" s="6">
        <v>46066</v>
      </c>
      <c r="K150" s="26">
        <v>5.8599999999999999E-2</v>
      </c>
      <c r="L150" s="23">
        <f t="shared" si="37"/>
        <v>23125.128361579165</v>
      </c>
      <c r="M150" s="23">
        <f t="shared" si="41"/>
        <v>21559.8475</v>
      </c>
      <c r="N150" s="8">
        <v>43553</v>
      </c>
      <c r="O150" s="8">
        <v>46447</v>
      </c>
      <c r="P150" s="7">
        <f t="shared" si="34"/>
        <v>3</v>
      </c>
      <c r="Q150" s="8">
        <v>47178</v>
      </c>
    </row>
    <row r="151" spans="2:17" x14ac:dyDescent="0.2">
      <c r="B151" s="5" t="s">
        <v>16</v>
      </c>
      <c r="C151" s="5" t="s">
        <v>63</v>
      </c>
      <c r="D151" s="4" t="s">
        <v>24</v>
      </c>
      <c r="E151" s="4" t="s">
        <v>15</v>
      </c>
      <c r="F151" s="95" t="s">
        <v>18</v>
      </c>
      <c r="G151" s="5" t="s">
        <v>20</v>
      </c>
      <c r="H151" s="4">
        <v>4008613</v>
      </c>
      <c r="I151" s="4" t="s">
        <v>12</v>
      </c>
      <c r="J151" s="6">
        <v>46066</v>
      </c>
      <c r="K151" s="26">
        <v>5.8599999999999999E-2</v>
      </c>
      <c r="L151" s="23">
        <f t="shared" si="37"/>
        <v>24628.7839923875</v>
      </c>
      <c r="M151" s="23">
        <f t="shared" si="41"/>
        <v>21559.8475</v>
      </c>
      <c r="N151" s="8">
        <v>43553</v>
      </c>
      <c r="O151" s="8">
        <v>46813</v>
      </c>
      <c r="P151" s="7">
        <f t="shared" si="34"/>
        <v>3</v>
      </c>
      <c r="Q151" s="8">
        <v>47178</v>
      </c>
    </row>
    <row r="152" spans="2:17" x14ac:dyDescent="0.2">
      <c r="B152" s="5" t="s">
        <v>16</v>
      </c>
      <c r="C152" s="5" t="s">
        <v>63</v>
      </c>
      <c r="D152" s="4" t="s">
        <v>24</v>
      </c>
      <c r="E152" s="4" t="s">
        <v>15</v>
      </c>
      <c r="F152" s="95" t="s">
        <v>18</v>
      </c>
      <c r="G152" s="5" t="s">
        <v>21</v>
      </c>
      <c r="H152" s="4">
        <v>4008613</v>
      </c>
      <c r="I152" s="4" t="s">
        <v>12</v>
      </c>
      <c r="J152" s="6">
        <v>46066</v>
      </c>
      <c r="K152" s="26">
        <v>5.8599999999999999E-2</v>
      </c>
      <c r="L152" s="23">
        <f t="shared" si="37"/>
        <v>26128.331274477776</v>
      </c>
      <c r="M152" s="23">
        <f t="shared" si="41"/>
        <v>21559.8475</v>
      </c>
      <c r="N152" s="8">
        <v>43553</v>
      </c>
      <c r="O152" s="8">
        <v>47178</v>
      </c>
      <c r="P152" s="7">
        <f t="shared" si="34"/>
        <v>3</v>
      </c>
      <c r="Q152" s="8">
        <v>47178</v>
      </c>
    </row>
    <row r="153" spans="2:17" x14ac:dyDescent="0.2">
      <c r="B153" s="5" t="s">
        <v>16</v>
      </c>
      <c r="C153" s="5" t="s">
        <v>63</v>
      </c>
      <c r="D153" s="4" t="s">
        <v>26</v>
      </c>
      <c r="E153" s="4" t="s">
        <v>15</v>
      </c>
      <c r="F153" s="95" t="s">
        <v>18</v>
      </c>
      <c r="G153" s="5" t="s">
        <v>11</v>
      </c>
      <c r="H153" s="4">
        <v>4008771</v>
      </c>
      <c r="I153" s="4" t="s">
        <v>12</v>
      </c>
      <c r="J153" s="6">
        <v>46066</v>
      </c>
      <c r="K153" s="26">
        <v>7.4999999999999997E-2</v>
      </c>
      <c r="L153" s="23">
        <f t="shared" si="37"/>
        <v>91133.194897499998</v>
      </c>
      <c r="M153" s="23">
        <v>89839.26</v>
      </c>
      <c r="N153" s="8">
        <v>43622</v>
      </c>
      <c r="O153" s="8">
        <v>46127</v>
      </c>
      <c r="P153" s="7">
        <f t="shared" si="34"/>
        <v>4</v>
      </c>
      <c r="Q153" s="8">
        <v>46127</v>
      </c>
    </row>
    <row r="154" spans="2:17" x14ac:dyDescent="0.2">
      <c r="B154" s="5" t="s">
        <v>16</v>
      </c>
      <c r="C154" s="5" t="s">
        <v>63</v>
      </c>
      <c r="D154" s="4" t="s">
        <v>24</v>
      </c>
      <c r="E154" s="4" t="s">
        <v>15</v>
      </c>
      <c r="F154" s="95" t="s">
        <v>18</v>
      </c>
      <c r="G154" s="5" t="s">
        <v>11</v>
      </c>
      <c r="H154" s="4">
        <v>4008918</v>
      </c>
      <c r="I154" s="4" t="s">
        <v>12</v>
      </c>
      <c r="J154" s="6">
        <v>46066</v>
      </c>
      <c r="K154" s="26">
        <v>4.87E-2</v>
      </c>
      <c r="L154" s="23">
        <f t="shared" si="37"/>
        <v>295428.68080492591</v>
      </c>
      <c r="M154" s="23">
        <f t="shared" ref="M154:M156" si="42">854249.32/3</f>
        <v>284749.77333333332</v>
      </c>
      <c r="N154" s="8">
        <v>44019</v>
      </c>
      <c r="O154" s="8">
        <v>46296</v>
      </c>
      <c r="P154" s="7">
        <f t="shared" si="34"/>
        <v>10</v>
      </c>
      <c r="Q154" s="8">
        <v>47027</v>
      </c>
    </row>
    <row r="155" spans="2:17" x14ac:dyDescent="0.2">
      <c r="B155" s="5" t="s">
        <v>16</v>
      </c>
      <c r="C155" s="5" t="s">
        <v>63</v>
      </c>
      <c r="D155" s="4" t="s">
        <v>24</v>
      </c>
      <c r="E155" s="4" t="s">
        <v>15</v>
      </c>
      <c r="F155" s="95" t="s">
        <v>18</v>
      </c>
      <c r="G155" s="5" t="s">
        <v>19</v>
      </c>
      <c r="H155" s="4">
        <v>4008918</v>
      </c>
      <c r="I155" s="4" t="s">
        <v>12</v>
      </c>
      <c r="J155" s="6">
        <v>46066</v>
      </c>
      <c r="K155" s="26">
        <v>4.87E-2</v>
      </c>
      <c r="L155" s="23">
        <f t="shared" si="37"/>
        <v>312375.64266201848</v>
      </c>
      <c r="M155" s="23">
        <f t="shared" si="42"/>
        <v>284749.77333333332</v>
      </c>
      <c r="N155" s="8">
        <v>44019</v>
      </c>
      <c r="O155" s="8">
        <v>46661</v>
      </c>
      <c r="P155" s="7">
        <f t="shared" si="34"/>
        <v>10</v>
      </c>
      <c r="Q155" s="8">
        <v>47027</v>
      </c>
    </row>
    <row r="156" spans="2:17" x14ac:dyDescent="0.2">
      <c r="B156" s="5" t="s">
        <v>16</v>
      </c>
      <c r="C156" s="5" t="s">
        <v>63</v>
      </c>
      <c r="D156" s="4" t="s">
        <v>24</v>
      </c>
      <c r="E156" s="4" t="s">
        <v>15</v>
      </c>
      <c r="F156" s="95" t="s">
        <v>18</v>
      </c>
      <c r="G156" s="5" t="s">
        <v>20</v>
      </c>
      <c r="H156" s="4">
        <v>4008918</v>
      </c>
      <c r="I156" s="4" t="s">
        <v>12</v>
      </c>
      <c r="J156" s="6">
        <v>46066</v>
      </c>
      <c r="K156" s="26">
        <v>4.87E-2</v>
      </c>
      <c r="L156" s="23">
        <f t="shared" si="37"/>
        <v>329369.03455159627</v>
      </c>
      <c r="M156" s="23">
        <f t="shared" si="42"/>
        <v>284749.77333333332</v>
      </c>
      <c r="N156" s="8">
        <v>44019</v>
      </c>
      <c r="O156" s="8">
        <v>47027</v>
      </c>
      <c r="P156" s="7">
        <f t="shared" si="34"/>
        <v>10</v>
      </c>
      <c r="Q156" s="8">
        <v>47027</v>
      </c>
    </row>
    <row r="157" spans="2:17" x14ac:dyDescent="0.2">
      <c r="B157" s="5" t="s">
        <v>16</v>
      </c>
      <c r="C157" s="5" t="s">
        <v>63</v>
      </c>
      <c r="D157" s="4" t="s">
        <v>28</v>
      </c>
      <c r="E157" s="4" t="s">
        <v>15</v>
      </c>
      <c r="F157" s="95" t="s">
        <v>18</v>
      </c>
      <c r="G157" s="5" t="s">
        <v>11</v>
      </c>
      <c r="H157" s="4">
        <v>4008950</v>
      </c>
      <c r="I157" s="4" t="s">
        <v>12</v>
      </c>
      <c r="J157" s="6">
        <v>46066</v>
      </c>
      <c r="K157" s="26">
        <v>7.7499999999999999E-2</v>
      </c>
      <c r="L157" s="23">
        <f t="shared" si="37"/>
        <v>240546.44390416666</v>
      </c>
      <c r="M157" s="23">
        <f t="shared" ref="M157:M158" si="43">482500.18/2</f>
        <v>241250.09</v>
      </c>
      <c r="N157" s="8">
        <v>44231</v>
      </c>
      <c r="O157" s="8">
        <v>46054</v>
      </c>
      <c r="P157" s="7">
        <f t="shared" si="34"/>
        <v>2</v>
      </c>
      <c r="Q157" s="8">
        <v>46419</v>
      </c>
    </row>
    <row r="158" spans="2:17" x14ac:dyDescent="0.2">
      <c r="B158" s="5" t="s">
        <v>16</v>
      </c>
      <c r="C158" s="5" t="s">
        <v>63</v>
      </c>
      <c r="D158" s="4" t="s">
        <v>28</v>
      </c>
      <c r="E158" s="4" t="s">
        <v>15</v>
      </c>
      <c r="F158" s="95" t="s">
        <v>18</v>
      </c>
      <c r="G158" s="5" t="s">
        <v>19</v>
      </c>
      <c r="H158" s="4">
        <v>4008950</v>
      </c>
      <c r="I158" s="4" t="s">
        <v>12</v>
      </c>
      <c r="J158" s="6">
        <v>46066</v>
      </c>
      <c r="K158" s="26">
        <v>7.7499999999999999E-2</v>
      </c>
      <c r="L158" s="23">
        <f t="shared" si="37"/>
        <v>261949.01265243054</v>
      </c>
      <c r="M158" s="23">
        <f t="shared" si="43"/>
        <v>241250.09</v>
      </c>
      <c r="N158" s="8">
        <v>44231</v>
      </c>
      <c r="O158" s="8">
        <v>46419</v>
      </c>
      <c r="P158" s="7">
        <f t="shared" si="34"/>
        <v>2</v>
      </c>
      <c r="Q158" s="8">
        <v>46419</v>
      </c>
    </row>
    <row r="159" spans="2:17" x14ac:dyDescent="0.2">
      <c r="B159" s="5" t="s">
        <v>16</v>
      </c>
      <c r="C159" s="5" t="s">
        <v>63</v>
      </c>
      <c r="D159" s="4" t="s">
        <v>29</v>
      </c>
      <c r="E159" s="4" t="s">
        <v>15</v>
      </c>
      <c r="F159" s="95" t="s">
        <v>18</v>
      </c>
      <c r="G159" s="5" t="s">
        <v>11</v>
      </c>
      <c r="H159" s="4">
        <v>4009174</v>
      </c>
      <c r="I159" s="4" t="s">
        <v>12</v>
      </c>
      <c r="J159" s="6">
        <v>46066</v>
      </c>
      <c r="K159" s="26">
        <v>6.0900000000000003E-2</v>
      </c>
      <c r="L159" s="23">
        <f t="shared" si="37"/>
        <v>75288.551029708338</v>
      </c>
      <c r="M159" s="23">
        <f t="shared" ref="M159:M162" si="44">293185.9/4</f>
        <v>73296.475000000006</v>
      </c>
      <c r="N159" s="8">
        <v>44403</v>
      </c>
      <c r="O159" s="8">
        <v>46204</v>
      </c>
      <c r="P159" s="7">
        <f t="shared" si="34"/>
        <v>7</v>
      </c>
      <c r="Q159" s="8">
        <v>47300</v>
      </c>
    </row>
    <row r="160" spans="2:17" x14ac:dyDescent="0.2">
      <c r="B160" s="5" t="s">
        <v>16</v>
      </c>
      <c r="C160" s="5" t="s">
        <v>63</v>
      </c>
      <c r="D160" s="4" t="s">
        <v>29</v>
      </c>
      <c r="E160" s="4" t="s">
        <v>15</v>
      </c>
      <c r="F160" s="95" t="s">
        <v>18</v>
      </c>
      <c r="G160" s="5" t="s">
        <v>19</v>
      </c>
      <c r="H160" s="4">
        <v>4009174</v>
      </c>
      <c r="I160" s="4" t="s">
        <v>12</v>
      </c>
      <c r="J160" s="6">
        <v>46066</v>
      </c>
      <c r="K160" s="26">
        <v>6.0900000000000003E-2</v>
      </c>
      <c r="L160" s="23">
        <f t="shared" si="37"/>
        <v>80557.44777495139</v>
      </c>
      <c r="M160" s="23">
        <f t="shared" si="44"/>
        <v>73296.475000000006</v>
      </c>
      <c r="N160" s="8">
        <v>44403</v>
      </c>
      <c r="O160" s="8">
        <v>46569</v>
      </c>
      <c r="P160" s="7">
        <f t="shared" si="34"/>
        <v>7</v>
      </c>
      <c r="Q160" s="8">
        <v>47300</v>
      </c>
    </row>
    <row r="161" spans="2:17" x14ac:dyDescent="0.2">
      <c r="B161" s="5" t="s">
        <v>16</v>
      </c>
      <c r="C161" s="5" t="s">
        <v>63</v>
      </c>
      <c r="D161" s="4" t="s">
        <v>29</v>
      </c>
      <c r="E161" s="4" t="s">
        <v>15</v>
      </c>
      <c r="F161" s="95" t="s">
        <v>18</v>
      </c>
      <c r="G161" s="5" t="s">
        <v>20</v>
      </c>
      <c r="H161" s="4">
        <v>4009174</v>
      </c>
      <c r="I161" s="4" t="s">
        <v>12</v>
      </c>
      <c r="J161" s="6">
        <v>46066</v>
      </c>
      <c r="K161" s="26">
        <v>6.0900000000000003E-2</v>
      </c>
      <c r="L161" s="23">
        <f t="shared" si="37"/>
        <v>85840.779853743064</v>
      </c>
      <c r="M161" s="23">
        <f t="shared" si="44"/>
        <v>73296.475000000006</v>
      </c>
      <c r="N161" s="8">
        <v>44403</v>
      </c>
      <c r="O161" s="8">
        <v>46935</v>
      </c>
      <c r="P161" s="7">
        <f t="shared" si="34"/>
        <v>7</v>
      </c>
      <c r="Q161" s="8">
        <v>47300</v>
      </c>
    </row>
    <row r="162" spans="2:17" x14ac:dyDescent="0.2">
      <c r="B162" s="5" t="s">
        <v>16</v>
      </c>
      <c r="C162" s="5" t="s">
        <v>63</v>
      </c>
      <c r="D162" s="4" t="s">
        <v>29</v>
      </c>
      <c r="E162" s="4" t="s">
        <v>15</v>
      </c>
      <c r="F162" s="95" t="s">
        <v>18</v>
      </c>
      <c r="G162" s="5" t="s">
        <v>21</v>
      </c>
      <c r="H162" s="4">
        <v>4009174</v>
      </c>
      <c r="I162" s="4" t="s">
        <v>12</v>
      </c>
      <c r="J162" s="6">
        <v>46066</v>
      </c>
      <c r="K162" s="26">
        <v>6.0900000000000003E-2</v>
      </c>
      <c r="L162" s="23">
        <f t="shared" si="37"/>
        <v>91109.676598986116</v>
      </c>
      <c r="M162" s="23">
        <f t="shared" si="44"/>
        <v>73296.475000000006</v>
      </c>
      <c r="N162" s="8">
        <v>44403</v>
      </c>
      <c r="O162" s="8">
        <v>47300</v>
      </c>
      <c r="P162" s="7">
        <f t="shared" si="34"/>
        <v>7</v>
      </c>
      <c r="Q162" s="8">
        <v>47300</v>
      </c>
    </row>
    <row r="163" spans="2:17" x14ac:dyDescent="0.2">
      <c r="B163" s="5" t="s">
        <v>16</v>
      </c>
      <c r="C163" s="5" t="s">
        <v>63</v>
      </c>
      <c r="D163" s="4" t="s">
        <v>28</v>
      </c>
      <c r="E163" s="4" t="s">
        <v>15</v>
      </c>
      <c r="F163" s="95" t="s">
        <v>18</v>
      </c>
      <c r="G163" s="5" t="s">
        <v>11</v>
      </c>
      <c r="H163" s="4">
        <v>4009269</v>
      </c>
      <c r="I163" s="4" t="s">
        <v>12</v>
      </c>
      <c r="J163" s="6">
        <v>46066</v>
      </c>
      <c r="K163" s="26">
        <v>0.09</v>
      </c>
      <c r="L163" s="23">
        <f t="shared" si="37"/>
        <v>908850.23162962962</v>
      </c>
      <c r="M163" s="23">
        <f t="shared" ref="M163:M165" si="45">2553481.4/3</f>
        <v>851160.46666666667</v>
      </c>
      <c r="N163" s="8">
        <v>44497</v>
      </c>
      <c r="O163" s="8">
        <v>46310</v>
      </c>
      <c r="P163" s="7">
        <f t="shared" si="34"/>
        <v>10</v>
      </c>
      <c r="Q163" s="8">
        <v>47041</v>
      </c>
    </row>
    <row r="164" spans="2:17" x14ac:dyDescent="0.2">
      <c r="B164" s="5" t="s">
        <v>16</v>
      </c>
      <c r="C164" s="5" t="s">
        <v>63</v>
      </c>
      <c r="D164" s="4" t="s">
        <v>28</v>
      </c>
      <c r="E164" s="4" t="s">
        <v>15</v>
      </c>
      <c r="F164" s="95" t="s">
        <v>18</v>
      </c>
      <c r="G164" s="5" t="s">
        <v>19</v>
      </c>
      <c r="H164" s="4">
        <v>4009269</v>
      </c>
      <c r="I164" s="4" t="s">
        <v>12</v>
      </c>
      <c r="J164" s="6">
        <v>46066</v>
      </c>
      <c r="K164" s="26">
        <v>0.09</v>
      </c>
      <c r="L164" s="23">
        <f t="shared" si="37"/>
        <v>995148.44561111112</v>
      </c>
      <c r="M164" s="23">
        <f t="shared" si="45"/>
        <v>851160.46666666667</v>
      </c>
      <c r="N164" s="8">
        <v>44497</v>
      </c>
      <c r="O164" s="8">
        <v>46675</v>
      </c>
      <c r="P164" s="7">
        <f t="shared" si="34"/>
        <v>10</v>
      </c>
      <c r="Q164" s="8">
        <v>47041</v>
      </c>
    </row>
    <row r="165" spans="2:17" x14ac:dyDescent="0.2">
      <c r="B165" s="5" t="s">
        <v>16</v>
      </c>
      <c r="C165" s="5" t="s">
        <v>63</v>
      </c>
      <c r="D165" s="4" t="s">
        <v>28</v>
      </c>
      <c r="E165" s="4" t="s">
        <v>15</v>
      </c>
      <c r="F165" s="95" t="s">
        <v>18</v>
      </c>
      <c r="G165" s="5" t="s">
        <v>20</v>
      </c>
      <c r="H165" s="4">
        <v>4009269</v>
      </c>
      <c r="I165" s="4" t="s">
        <v>12</v>
      </c>
      <c r="J165" s="6">
        <v>46066</v>
      </c>
      <c r="K165" s="26">
        <v>0.09</v>
      </c>
      <c r="L165" s="23">
        <f t="shared" si="37"/>
        <v>1081683.0930555556</v>
      </c>
      <c r="M165" s="23">
        <f t="shared" si="45"/>
        <v>851160.46666666667</v>
      </c>
      <c r="N165" s="8">
        <v>44497</v>
      </c>
      <c r="O165" s="8">
        <v>47041</v>
      </c>
      <c r="P165" s="7">
        <f t="shared" si="34"/>
        <v>10</v>
      </c>
      <c r="Q165" s="8">
        <v>47041</v>
      </c>
    </row>
    <row r="166" spans="2:17" x14ac:dyDescent="0.2">
      <c r="B166" s="5" t="s">
        <v>16</v>
      </c>
      <c r="C166" s="5" t="s">
        <v>63</v>
      </c>
      <c r="D166" s="4" t="s">
        <v>28</v>
      </c>
      <c r="E166" s="4" t="s">
        <v>15</v>
      </c>
      <c r="F166" s="95" t="s">
        <v>18</v>
      </c>
      <c r="G166" s="5" t="s">
        <v>11</v>
      </c>
      <c r="H166" s="4">
        <v>4009380</v>
      </c>
      <c r="I166" s="4" t="s">
        <v>12</v>
      </c>
      <c r="J166" s="6">
        <v>46066</v>
      </c>
      <c r="K166" s="26">
        <v>0.13450000000000001</v>
      </c>
      <c r="L166" s="23">
        <f t="shared" si="37"/>
        <v>736594.36330932635</v>
      </c>
      <c r="M166" s="23">
        <f t="shared" ref="M166:M169" si="46">2891822.42/4</f>
        <v>722955.60499999998</v>
      </c>
      <c r="N166" s="8">
        <v>44683</v>
      </c>
      <c r="O166" s="8">
        <v>46113</v>
      </c>
      <c r="P166" s="7">
        <f t="shared" si="34"/>
        <v>4</v>
      </c>
      <c r="Q166" s="8">
        <v>47209</v>
      </c>
    </row>
    <row r="167" spans="2:17" x14ac:dyDescent="0.2">
      <c r="B167" s="5" t="s">
        <v>16</v>
      </c>
      <c r="C167" s="5" t="s">
        <v>63</v>
      </c>
      <c r="D167" s="4" t="s">
        <v>28</v>
      </c>
      <c r="E167" s="4" t="s">
        <v>15</v>
      </c>
      <c r="F167" s="95" t="s">
        <v>18</v>
      </c>
      <c r="G167" s="5" t="s">
        <v>19</v>
      </c>
      <c r="H167" s="4">
        <v>4009380</v>
      </c>
      <c r="I167" s="4" t="s">
        <v>12</v>
      </c>
      <c r="J167" s="6">
        <v>46066</v>
      </c>
      <c r="K167" s="26">
        <v>0.13450000000000001</v>
      </c>
      <c r="L167" s="23">
        <f t="shared" si="37"/>
        <v>842512.3799668611</v>
      </c>
      <c r="M167" s="23">
        <f t="shared" si="46"/>
        <v>722955.60499999998</v>
      </c>
      <c r="N167" s="8">
        <v>44683</v>
      </c>
      <c r="O167" s="8">
        <v>46478</v>
      </c>
      <c r="P167" s="7">
        <f t="shared" si="34"/>
        <v>4</v>
      </c>
      <c r="Q167" s="8">
        <v>47209</v>
      </c>
    </row>
    <row r="168" spans="2:17" x14ac:dyDescent="0.2">
      <c r="B168" s="5" t="s">
        <v>16</v>
      </c>
      <c r="C168" s="5" t="s">
        <v>63</v>
      </c>
      <c r="D168" s="4" t="s">
        <v>28</v>
      </c>
      <c r="E168" s="4" t="s">
        <v>15</v>
      </c>
      <c r="F168" s="95" t="s">
        <v>18</v>
      </c>
      <c r="G168" s="5" t="s">
        <v>20</v>
      </c>
      <c r="H168" s="4">
        <v>4009380</v>
      </c>
      <c r="I168" s="4" t="s">
        <v>12</v>
      </c>
      <c r="J168" s="6">
        <v>46066</v>
      </c>
      <c r="K168" s="26">
        <v>0.13450000000000001</v>
      </c>
      <c r="L168" s="23">
        <f t="shared" si="37"/>
        <v>948720.58297140279</v>
      </c>
      <c r="M168" s="23">
        <f t="shared" si="46"/>
        <v>722955.60499999998</v>
      </c>
      <c r="N168" s="8">
        <v>44683</v>
      </c>
      <c r="O168" s="8">
        <v>46844</v>
      </c>
      <c r="P168" s="7">
        <f t="shared" si="34"/>
        <v>4</v>
      </c>
      <c r="Q168" s="8">
        <v>47209</v>
      </c>
    </row>
    <row r="169" spans="2:17" x14ac:dyDescent="0.2">
      <c r="B169" s="5" t="s">
        <v>16</v>
      </c>
      <c r="C169" s="5" t="s">
        <v>63</v>
      </c>
      <c r="D169" s="4" t="s">
        <v>28</v>
      </c>
      <c r="E169" s="4" t="s">
        <v>15</v>
      </c>
      <c r="F169" s="95" t="s">
        <v>18</v>
      </c>
      <c r="G169" s="5" t="s">
        <v>21</v>
      </c>
      <c r="H169" s="4">
        <v>4009380</v>
      </c>
      <c r="I169" s="4" t="s">
        <v>12</v>
      </c>
      <c r="J169" s="6">
        <v>46066</v>
      </c>
      <c r="K169" s="26">
        <v>0.13450000000000001</v>
      </c>
      <c r="L169" s="23">
        <f t="shared" si="37"/>
        <v>1054638.5996289374</v>
      </c>
      <c r="M169" s="23">
        <f t="shared" si="46"/>
        <v>722955.60499999998</v>
      </c>
      <c r="N169" s="8">
        <v>44683</v>
      </c>
      <c r="O169" s="8">
        <v>47209</v>
      </c>
      <c r="P169" s="7">
        <f t="shared" si="34"/>
        <v>4</v>
      </c>
      <c r="Q169" s="8">
        <v>47209</v>
      </c>
    </row>
    <row r="170" spans="2:17" x14ac:dyDescent="0.2">
      <c r="B170" s="5" t="s">
        <v>16</v>
      </c>
      <c r="C170" s="5" t="s">
        <v>63</v>
      </c>
      <c r="D170" s="4" t="s">
        <v>28</v>
      </c>
      <c r="E170" s="4" t="s">
        <v>15</v>
      </c>
      <c r="F170" s="95" t="s">
        <v>18</v>
      </c>
      <c r="G170" s="5" t="s">
        <v>11</v>
      </c>
      <c r="H170" s="4">
        <v>4009381</v>
      </c>
      <c r="I170" s="4" t="s">
        <v>12</v>
      </c>
      <c r="J170" s="6">
        <v>46066</v>
      </c>
      <c r="K170" s="26">
        <v>0.13450000000000001</v>
      </c>
      <c r="L170" s="23">
        <f t="shared" si="37"/>
        <v>189288.30961322918</v>
      </c>
      <c r="M170" s="23">
        <f t="shared" ref="M170:M173" si="47">737612.65/4</f>
        <v>184403.16250000001</v>
      </c>
      <c r="N170" s="8">
        <v>44683</v>
      </c>
      <c r="O170" s="8">
        <v>46132</v>
      </c>
      <c r="P170" s="7">
        <f t="shared" si="34"/>
        <v>4</v>
      </c>
      <c r="Q170" s="8">
        <v>47228</v>
      </c>
    </row>
    <row r="171" spans="2:17" x14ac:dyDescent="0.2">
      <c r="B171" s="5" t="s">
        <v>16</v>
      </c>
      <c r="C171" s="5" t="s">
        <v>63</v>
      </c>
      <c r="D171" s="4" t="s">
        <v>28</v>
      </c>
      <c r="E171" s="4" t="s">
        <v>15</v>
      </c>
      <c r="F171" s="95" t="s">
        <v>18</v>
      </c>
      <c r="G171" s="5" t="s">
        <v>19</v>
      </c>
      <c r="H171" s="4">
        <v>4009381</v>
      </c>
      <c r="I171" s="4" t="s">
        <v>12</v>
      </c>
      <c r="J171" s="6">
        <v>46066</v>
      </c>
      <c r="K171" s="26">
        <v>0.13450000000000001</v>
      </c>
      <c r="L171" s="23">
        <f t="shared" si="37"/>
        <v>216304.65349699653</v>
      </c>
      <c r="M171" s="23">
        <f t="shared" si="47"/>
        <v>184403.16250000001</v>
      </c>
      <c r="N171" s="8">
        <v>44683</v>
      </c>
      <c r="O171" s="8">
        <v>46497</v>
      </c>
      <c r="P171" s="7">
        <f t="shared" si="34"/>
        <v>4</v>
      </c>
      <c r="Q171" s="8">
        <v>47228</v>
      </c>
    </row>
    <row r="172" spans="2:17" x14ac:dyDescent="0.2">
      <c r="B172" s="5" t="s">
        <v>16</v>
      </c>
      <c r="C172" s="5" t="s">
        <v>63</v>
      </c>
      <c r="D172" s="4" t="s">
        <v>28</v>
      </c>
      <c r="E172" s="4" t="s">
        <v>15</v>
      </c>
      <c r="F172" s="95" t="s">
        <v>18</v>
      </c>
      <c r="G172" s="5" t="s">
        <v>20</v>
      </c>
      <c r="H172" s="4">
        <v>4009381</v>
      </c>
      <c r="I172" s="4" t="s">
        <v>12</v>
      </c>
      <c r="J172" s="6">
        <v>46066</v>
      </c>
      <c r="K172" s="26">
        <v>0.13450000000000001</v>
      </c>
      <c r="L172" s="23">
        <f t="shared" si="37"/>
        <v>243395.01476126738</v>
      </c>
      <c r="M172" s="23">
        <f t="shared" si="47"/>
        <v>184403.16250000001</v>
      </c>
      <c r="N172" s="8">
        <v>44683</v>
      </c>
      <c r="O172" s="8">
        <v>46863</v>
      </c>
      <c r="P172" s="7">
        <f t="shared" si="34"/>
        <v>4</v>
      </c>
      <c r="Q172" s="8">
        <v>47228</v>
      </c>
    </row>
    <row r="173" spans="2:17" x14ac:dyDescent="0.2">
      <c r="B173" s="5" t="s">
        <v>16</v>
      </c>
      <c r="C173" s="5" t="s">
        <v>63</v>
      </c>
      <c r="D173" s="4" t="s">
        <v>28</v>
      </c>
      <c r="E173" s="4" t="s">
        <v>15</v>
      </c>
      <c r="F173" s="95" t="s">
        <v>18</v>
      </c>
      <c r="G173" s="5" t="s">
        <v>21</v>
      </c>
      <c r="H173" s="4">
        <v>4009381</v>
      </c>
      <c r="I173" s="4" t="s">
        <v>12</v>
      </c>
      <c r="J173" s="6">
        <v>46066</v>
      </c>
      <c r="K173" s="26">
        <v>0.13450000000000001</v>
      </c>
      <c r="L173" s="23">
        <f t="shared" si="37"/>
        <v>270411.35864503472</v>
      </c>
      <c r="M173" s="23">
        <f t="shared" si="47"/>
        <v>184403.16250000001</v>
      </c>
      <c r="N173" s="8">
        <v>44683</v>
      </c>
      <c r="O173" s="8">
        <v>47228</v>
      </c>
      <c r="P173" s="7">
        <f t="shared" si="34"/>
        <v>4</v>
      </c>
      <c r="Q173" s="8">
        <v>47228</v>
      </c>
    </row>
    <row r="174" spans="2:17" x14ac:dyDescent="0.2">
      <c r="B174" s="5" t="s">
        <v>16</v>
      </c>
      <c r="C174" s="5" t="s">
        <v>63</v>
      </c>
      <c r="D174" s="4" t="s">
        <v>17</v>
      </c>
      <c r="E174" s="4" t="s">
        <v>17</v>
      </c>
      <c r="F174" s="95" t="s">
        <v>18</v>
      </c>
      <c r="G174" s="5" t="s">
        <v>11</v>
      </c>
      <c r="H174" s="64">
        <v>2097206</v>
      </c>
      <c r="I174" s="64" t="s">
        <v>12</v>
      </c>
      <c r="J174" s="65">
        <v>46066</v>
      </c>
      <c r="K174" s="66">
        <v>8.5000000000000006E-2</v>
      </c>
      <c r="L174" s="67">
        <v>111600.01</v>
      </c>
      <c r="M174" s="23">
        <v>109252.59657090023</v>
      </c>
      <c r="N174" s="8">
        <v>43790</v>
      </c>
      <c r="O174" s="8">
        <v>46157</v>
      </c>
      <c r="P174" s="7">
        <f t="shared" si="34"/>
        <v>5</v>
      </c>
      <c r="Q174" s="8">
        <v>46157</v>
      </c>
    </row>
    <row r="175" spans="2:17" x14ac:dyDescent="0.2">
      <c r="B175" s="5" t="s">
        <v>16</v>
      </c>
      <c r="C175" s="5" t="s">
        <v>63</v>
      </c>
      <c r="D175" s="4" t="s">
        <v>33</v>
      </c>
      <c r="E175" s="4" t="s">
        <v>34</v>
      </c>
      <c r="F175" s="95" t="s">
        <v>18</v>
      </c>
      <c r="G175" s="5" t="s">
        <v>11</v>
      </c>
      <c r="H175" s="4">
        <v>4823467</v>
      </c>
      <c r="I175" s="4" t="s">
        <v>12</v>
      </c>
      <c r="J175" s="6">
        <v>46066</v>
      </c>
      <c r="K175" s="26">
        <v>0.115</v>
      </c>
      <c r="L175" s="23">
        <v>509409.04</v>
      </c>
      <c r="M175" s="23">
        <v>495210.73761868617</v>
      </c>
      <c r="N175" s="8">
        <v>45736</v>
      </c>
      <c r="O175" s="8">
        <v>46157</v>
      </c>
      <c r="P175" s="7">
        <f t="shared" si="34"/>
        <v>5</v>
      </c>
      <c r="Q175" s="8">
        <v>47983</v>
      </c>
    </row>
    <row r="176" spans="2:17" x14ac:dyDescent="0.2">
      <c r="B176" s="5" t="s">
        <v>16</v>
      </c>
      <c r="C176" s="5" t="s">
        <v>63</v>
      </c>
      <c r="D176" s="4" t="s">
        <v>33</v>
      </c>
      <c r="E176" s="4" t="s">
        <v>34</v>
      </c>
      <c r="F176" s="95" t="s">
        <v>18</v>
      </c>
      <c r="G176" s="5" t="s">
        <v>19</v>
      </c>
      <c r="H176" s="4">
        <v>4823467</v>
      </c>
      <c r="I176" s="4" t="s">
        <v>12</v>
      </c>
      <c r="J176" s="6">
        <v>46066</v>
      </c>
      <c r="K176" s="26">
        <v>0.115</v>
      </c>
      <c r="L176" s="23">
        <v>463762.29</v>
      </c>
      <c r="M176" s="23">
        <v>405503.15218953625</v>
      </c>
      <c r="N176" s="8">
        <v>45736</v>
      </c>
      <c r="O176" s="8">
        <v>46522</v>
      </c>
      <c r="P176" s="7">
        <f t="shared" si="34"/>
        <v>5</v>
      </c>
      <c r="Q176" s="8">
        <v>47983</v>
      </c>
    </row>
    <row r="177" spans="2:17" x14ac:dyDescent="0.2">
      <c r="B177" s="5" t="s">
        <v>16</v>
      </c>
      <c r="C177" s="5" t="s">
        <v>63</v>
      </c>
      <c r="D177" s="4" t="s">
        <v>33</v>
      </c>
      <c r="E177" s="4" t="s">
        <v>34</v>
      </c>
      <c r="F177" s="95" t="s">
        <v>18</v>
      </c>
      <c r="G177" s="5" t="s">
        <v>20</v>
      </c>
      <c r="H177" s="4">
        <v>4823467</v>
      </c>
      <c r="I177" s="4" t="s">
        <v>12</v>
      </c>
      <c r="J177" s="6">
        <v>46066</v>
      </c>
      <c r="K177" s="26">
        <v>0.115</v>
      </c>
      <c r="L177" s="23">
        <v>430292</v>
      </c>
      <c r="M177" s="23">
        <v>341776.55430548603</v>
      </c>
      <c r="N177" s="8">
        <v>45736</v>
      </c>
      <c r="O177" s="8">
        <v>46888</v>
      </c>
      <c r="P177" s="7">
        <f t="shared" si="34"/>
        <v>5</v>
      </c>
      <c r="Q177" s="8">
        <v>47983</v>
      </c>
    </row>
    <row r="178" spans="2:17" x14ac:dyDescent="0.2">
      <c r="B178" s="5" t="s">
        <v>16</v>
      </c>
      <c r="C178" s="5" t="s">
        <v>63</v>
      </c>
      <c r="D178" s="4" t="s">
        <v>33</v>
      </c>
      <c r="E178" s="4" t="s">
        <v>34</v>
      </c>
      <c r="F178" s="95" t="s">
        <v>18</v>
      </c>
      <c r="G178" s="5" t="s">
        <v>21</v>
      </c>
      <c r="H178" s="4">
        <v>4823467</v>
      </c>
      <c r="I178" s="4" t="s">
        <v>12</v>
      </c>
      <c r="J178" s="6">
        <v>46066</v>
      </c>
      <c r="K178" s="26">
        <v>0.115</v>
      </c>
      <c r="L178" s="23">
        <v>396038.28</v>
      </c>
      <c r="M178" s="23">
        <v>288240.34097366926</v>
      </c>
      <c r="N178" s="8">
        <v>45736</v>
      </c>
      <c r="O178" s="8">
        <v>47253</v>
      </c>
      <c r="P178" s="7">
        <f t="shared" si="34"/>
        <v>5</v>
      </c>
      <c r="Q178" s="8">
        <v>47983</v>
      </c>
    </row>
    <row r="179" spans="2:17" x14ac:dyDescent="0.2">
      <c r="B179" s="5" t="s">
        <v>16</v>
      </c>
      <c r="C179" s="5" t="s">
        <v>63</v>
      </c>
      <c r="D179" s="4" t="s">
        <v>33</v>
      </c>
      <c r="E179" s="4" t="s">
        <v>34</v>
      </c>
      <c r="F179" s="95" t="s">
        <v>18</v>
      </c>
      <c r="G179" s="5" t="s">
        <v>22</v>
      </c>
      <c r="H179" s="4">
        <v>4823467</v>
      </c>
      <c r="I179" s="4" t="s">
        <v>12</v>
      </c>
      <c r="J179" s="6">
        <v>46066</v>
      </c>
      <c r="K179" s="26">
        <v>0.115</v>
      </c>
      <c r="L179" s="23">
        <v>362176.27</v>
      </c>
      <c r="M179" s="23">
        <v>243236.80457422539</v>
      </c>
      <c r="N179" s="8">
        <v>45736</v>
      </c>
      <c r="O179" s="8">
        <v>47618</v>
      </c>
      <c r="P179" s="7">
        <f t="shared" si="34"/>
        <v>5</v>
      </c>
      <c r="Q179" s="8">
        <v>47983</v>
      </c>
    </row>
    <row r="180" spans="2:17" x14ac:dyDescent="0.2">
      <c r="B180" s="5" t="s">
        <v>16</v>
      </c>
      <c r="C180" s="5" t="s">
        <v>63</v>
      </c>
      <c r="D180" s="4" t="s">
        <v>33</v>
      </c>
      <c r="E180" s="4" t="s">
        <v>34</v>
      </c>
      <c r="F180" s="95" t="s">
        <v>18</v>
      </c>
      <c r="G180" s="5" t="s">
        <v>23</v>
      </c>
      <c r="H180" s="4">
        <v>4823467</v>
      </c>
      <c r="I180" s="4" t="s">
        <v>12</v>
      </c>
      <c r="J180" s="6">
        <v>46066</v>
      </c>
      <c r="K180" s="26">
        <v>0.115</v>
      </c>
      <c r="L180" s="23">
        <v>328314.27</v>
      </c>
      <c r="M180" s="23">
        <v>204686.45506486407</v>
      </c>
      <c r="N180" s="8">
        <v>45736</v>
      </c>
      <c r="O180" s="8">
        <v>47983</v>
      </c>
      <c r="P180" s="7">
        <f t="shared" si="34"/>
        <v>5</v>
      </c>
      <c r="Q180" s="8">
        <v>47983</v>
      </c>
    </row>
    <row r="181" spans="2:17" x14ac:dyDescent="0.2">
      <c r="B181" s="5" t="s">
        <v>16</v>
      </c>
      <c r="C181" s="5" t="s">
        <v>63</v>
      </c>
      <c r="D181" s="5" t="s">
        <v>31</v>
      </c>
      <c r="E181" s="5" t="s">
        <v>15</v>
      </c>
      <c r="F181" s="98" t="s">
        <v>18</v>
      </c>
      <c r="G181" s="10" t="s">
        <v>11</v>
      </c>
      <c r="H181" s="14">
        <v>130808136</v>
      </c>
      <c r="I181" s="10" t="s">
        <v>32</v>
      </c>
      <c r="J181" s="6">
        <v>46066</v>
      </c>
      <c r="K181" s="27">
        <v>0.13800000000000001</v>
      </c>
      <c r="L181" s="23">
        <f t="shared" ref="L181:L200" si="48">(((O181-J181)*M181*((K181+1%)/12)/30))+M181</f>
        <v>287652.56425250001</v>
      </c>
      <c r="M181" s="31">
        <f t="shared" ref="M181:M184" si="49">1077518.58/4</f>
        <v>269379.64500000002</v>
      </c>
      <c r="N181" s="11">
        <v>45884</v>
      </c>
      <c r="O181" s="11">
        <v>46231</v>
      </c>
      <c r="P181" s="7">
        <f t="shared" si="34"/>
        <v>7</v>
      </c>
      <c r="Q181" s="11">
        <v>46231</v>
      </c>
    </row>
    <row r="182" spans="2:17" x14ac:dyDescent="0.2">
      <c r="B182" s="5" t="s">
        <v>16</v>
      </c>
      <c r="C182" s="5" t="s">
        <v>63</v>
      </c>
      <c r="D182" s="5" t="s">
        <v>31</v>
      </c>
      <c r="E182" s="5" t="s">
        <v>15</v>
      </c>
      <c r="F182" s="98" t="s">
        <v>18</v>
      </c>
      <c r="G182" s="10" t="s">
        <v>19</v>
      </c>
      <c r="H182" s="14">
        <v>130808136</v>
      </c>
      <c r="I182" s="10" t="s">
        <v>32</v>
      </c>
      <c r="J182" s="6">
        <v>46066</v>
      </c>
      <c r="K182" s="27">
        <v>0.13800000000000001</v>
      </c>
      <c r="L182" s="23">
        <f t="shared" si="48"/>
        <v>328074.47653833334</v>
      </c>
      <c r="M182" s="31">
        <f t="shared" si="49"/>
        <v>269379.64500000002</v>
      </c>
      <c r="N182" s="11">
        <v>45884</v>
      </c>
      <c r="O182" s="11">
        <v>46596</v>
      </c>
      <c r="P182" s="7">
        <f t="shared" si="34"/>
        <v>7</v>
      </c>
      <c r="Q182" s="11">
        <v>46596</v>
      </c>
    </row>
    <row r="183" spans="2:17" x14ac:dyDescent="0.2">
      <c r="B183" s="5" t="s">
        <v>16</v>
      </c>
      <c r="C183" s="5" t="s">
        <v>63</v>
      </c>
      <c r="D183" s="5" t="s">
        <v>31</v>
      </c>
      <c r="E183" s="5" t="s">
        <v>15</v>
      </c>
      <c r="F183" s="98" t="s">
        <v>18</v>
      </c>
      <c r="G183" s="10" t="s">
        <v>20</v>
      </c>
      <c r="H183" s="14">
        <v>130808136</v>
      </c>
      <c r="I183" s="10" t="s">
        <v>32</v>
      </c>
      <c r="J183" s="6">
        <v>46066</v>
      </c>
      <c r="K183" s="27">
        <v>0.13800000000000001</v>
      </c>
      <c r="L183" s="23">
        <f t="shared" si="48"/>
        <v>368607.1337893334</v>
      </c>
      <c r="M183" s="31">
        <f t="shared" si="49"/>
        <v>269379.64500000002</v>
      </c>
      <c r="N183" s="11">
        <v>45884</v>
      </c>
      <c r="O183" s="11">
        <v>46962</v>
      </c>
      <c r="P183" s="7">
        <f t="shared" si="34"/>
        <v>7</v>
      </c>
      <c r="Q183" s="11">
        <v>46962</v>
      </c>
    </row>
    <row r="184" spans="2:17" x14ac:dyDescent="0.2">
      <c r="B184" s="5" t="s">
        <v>16</v>
      </c>
      <c r="C184" s="5" t="s">
        <v>63</v>
      </c>
      <c r="D184" s="5" t="s">
        <v>31</v>
      </c>
      <c r="E184" s="5" t="s">
        <v>15</v>
      </c>
      <c r="F184" s="98" t="s">
        <v>18</v>
      </c>
      <c r="G184" s="10" t="s">
        <v>21</v>
      </c>
      <c r="H184" s="14">
        <v>130808136</v>
      </c>
      <c r="I184" s="10" t="s">
        <v>32</v>
      </c>
      <c r="J184" s="6">
        <v>46066</v>
      </c>
      <c r="K184" s="27">
        <v>0.13800000000000001</v>
      </c>
      <c r="L184" s="23">
        <f t="shared" si="48"/>
        <v>409029.04607516673</v>
      </c>
      <c r="M184" s="31">
        <f t="shared" si="49"/>
        <v>269379.64500000002</v>
      </c>
      <c r="N184" s="11">
        <v>45884</v>
      </c>
      <c r="O184" s="11">
        <v>47327</v>
      </c>
      <c r="P184" s="7">
        <f t="shared" si="34"/>
        <v>7</v>
      </c>
      <c r="Q184" s="11">
        <v>47327</v>
      </c>
    </row>
    <row r="185" spans="2:17" x14ac:dyDescent="0.2">
      <c r="B185" s="5" t="s">
        <v>16</v>
      </c>
      <c r="C185" s="5" t="s">
        <v>63</v>
      </c>
      <c r="D185" s="5" t="s">
        <v>31</v>
      </c>
      <c r="E185" s="5" t="s">
        <v>15</v>
      </c>
      <c r="F185" s="5" t="s">
        <v>10</v>
      </c>
      <c r="G185" s="10" t="s">
        <v>11</v>
      </c>
      <c r="H185" s="4">
        <v>130808137</v>
      </c>
      <c r="I185" s="10" t="s">
        <v>32</v>
      </c>
      <c r="J185" s="6">
        <v>46066</v>
      </c>
      <c r="K185" s="27">
        <v>0.13800000000000001</v>
      </c>
      <c r="L185" s="23">
        <f t="shared" si="48"/>
        <v>2760573.8210284445</v>
      </c>
      <c r="M185" s="31">
        <v>2647383.4700000002</v>
      </c>
      <c r="N185" s="11">
        <v>45884</v>
      </c>
      <c r="O185" s="11">
        <v>46170</v>
      </c>
      <c r="P185" s="7">
        <f t="shared" si="34"/>
        <v>5</v>
      </c>
      <c r="Q185" s="8">
        <v>46170</v>
      </c>
    </row>
    <row r="186" spans="2:17" x14ac:dyDescent="0.2">
      <c r="B186" s="5" t="s">
        <v>16</v>
      </c>
      <c r="C186" s="5" t="s">
        <v>63</v>
      </c>
      <c r="D186" s="5" t="s">
        <v>31</v>
      </c>
      <c r="E186" s="5" t="s">
        <v>15</v>
      </c>
      <c r="F186" s="98" t="s">
        <v>18</v>
      </c>
      <c r="G186" s="10" t="s">
        <v>11</v>
      </c>
      <c r="H186" s="5">
        <v>130808594</v>
      </c>
      <c r="I186" s="10" t="s">
        <v>32</v>
      </c>
      <c r="J186" s="6">
        <v>46066</v>
      </c>
      <c r="K186" s="27">
        <v>0.13250000000000001</v>
      </c>
      <c r="L186" s="23">
        <f t="shared" si="48"/>
        <v>353719.44595859374</v>
      </c>
      <c r="M186" s="31">
        <f t="shared" ref="M186:M189" si="50">1328134.03/4</f>
        <v>332033.50750000001</v>
      </c>
      <c r="N186" s="11">
        <v>45884</v>
      </c>
      <c r="O186" s="11">
        <v>46231</v>
      </c>
      <c r="P186" s="7">
        <f t="shared" si="34"/>
        <v>7</v>
      </c>
      <c r="Q186" s="11">
        <v>46231</v>
      </c>
    </row>
    <row r="187" spans="2:17" x14ac:dyDescent="0.2">
      <c r="B187" s="5" t="s">
        <v>16</v>
      </c>
      <c r="C187" s="5" t="s">
        <v>63</v>
      </c>
      <c r="D187" s="5" t="s">
        <v>31</v>
      </c>
      <c r="E187" s="5" t="s">
        <v>15</v>
      </c>
      <c r="F187" s="98" t="s">
        <v>18</v>
      </c>
      <c r="G187" s="10" t="s">
        <v>19</v>
      </c>
      <c r="H187" s="5">
        <v>130808594</v>
      </c>
      <c r="I187" s="10" t="s">
        <v>32</v>
      </c>
      <c r="J187" s="6">
        <v>46066</v>
      </c>
      <c r="K187" s="27">
        <v>0.13250000000000001</v>
      </c>
      <c r="L187" s="23">
        <f t="shared" si="48"/>
        <v>401691.37042760418</v>
      </c>
      <c r="M187" s="31">
        <f t="shared" si="50"/>
        <v>332033.50750000001</v>
      </c>
      <c r="N187" s="11">
        <v>45884</v>
      </c>
      <c r="O187" s="11">
        <v>46596</v>
      </c>
      <c r="P187" s="7">
        <f t="shared" si="34"/>
        <v>7</v>
      </c>
      <c r="Q187" s="11">
        <v>46596</v>
      </c>
    </row>
    <row r="188" spans="2:17" x14ac:dyDescent="0.2">
      <c r="B188" s="5" t="s">
        <v>16</v>
      </c>
      <c r="C188" s="5" t="s">
        <v>63</v>
      </c>
      <c r="D188" s="5" t="s">
        <v>31</v>
      </c>
      <c r="E188" s="5" t="s">
        <v>15</v>
      </c>
      <c r="F188" s="98" t="s">
        <v>18</v>
      </c>
      <c r="G188" s="10" t="s">
        <v>20</v>
      </c>
      <c r="H188" s="5">
        <v>130808594</v>
      </c>
      <c r="I188" s="10" t="s">
        <v>32</v>
      </c>
      <c r="J188" s="6">
        <v>46066</v>
      </c>
      <c r="K188" s="27">
        <v>0.13250000000000001</v>
      </c>
      <c r="L188" s="23">
        <f t="shared" si="48"/>
        <v>449794.7248266667</v>
      </c>
      <c r="M188" s="31">
        <f t="shared" si="50"/>
        <v>332033.50750000001</v>
      </c>
      <c r="N188" s="11">
        <v>45884</v>
      </c>
      <c r="O188" s="11">
        <v>46962</v>
      </c>
      <c r="P188" s="7">
        <f t="shared" si="34"/>
        <v>7</v>
      </c>
      <c r="Q188" s="11">
        <v>46962</v>
      </c>
    </row>
    <row r="189" spans="2:17" x14ac:dyDescent="0.2">
      <c r="B189" s="5" t="s">
        <v>16</v>
      </c>
      <c r="C189" s="5" t="s">
        <v>63</v>
      </c>
      <c r="D189" s="5" t="s">
        <v>31</v>
      </c>
      <c r="E189" s="5" t="s">
        <v>15</v>
      </c>
      <c r="F189" s="98" t="s">
        <v>18</v>
      </c>
      <c r="G189" s="10" t="s">
        <v>21</v>
      </c>
      <c r="H189" s="5">
        <v>130808594</v>
      </c>
      <c r="I189" s="10" t="s">
        <v>32</v>
      </c>
      <c r="J189" s="6">
        <v>46066</v>
      </c>
      <c r="K189" s="27">
        <v>0.13250000000000001</v>
      </c>
      <c r="L189" s="23">
        <f t="shared" si="48"/>
        <v>497766.64929567708</v>
      </c>
      <c r="M189" s="31">
        <f t="shared" si="50"/>
        <v>332033.50750000001</v>
      </c>
      <c r="N189" s="11">
        <v>45884</v>
      </c>
      <c r="O189" s="11">
        <v>47327</v>
      </c>
      <c r="P189" s="7">
        <f t="shared" si="34"/>
        <v>7</v>
      </c>
      <c r="Q189" s="11">
        <v>47327</v>
      </c>
    </row>
    <row r="190" spans="2:17" x14ac:dyDescent="0.2">
      <c r="B190" s="5" t="s">
        <v>16</v>
      </c>
      <c r="C190" s="5" t="s">
        <v>63</v>
      </c>
      <c r="D190" s="5" t="s">
        <v>31</v>
      </c>
      <c r="E190" s="5" t="s">
        <v>15</v>
      </c>
      <c r="F190" s="5" t="s">
        <v>10</v>
      </c>
      <c r="G190" s="10" t="s">
        <v>11</v>
      </c>
      <c r="H190" s="14">
        <v>130808652</v>
      </c>
      <c r="I190" s="10" t="s">
        <v>32</v>
      </c>
      <c r="J190" s="6">
        <v>46066</v>
      </c>
      <c r="K190" s="27">
        <v>0.12</v>
      </c>
      <c r="L190" s="23">
        <f t="shared" si="48"/>
        <v>515302.72408222221</v>
      </c>
      <c r="M190" s="31">
        <v>496650.73</v>
      </c>
      <c r="N190" s="11">
        <v>45884</v>
      </c>
      <c r="O190" s="11">
        <v>46170</v>
      </c>
      <c r="P190" s="7">
        <f t="shared" si="34"/>
        <v>5</v>
      </c>
      <c r="Q190" s="8">
        <v>46170</v>
      </c>
    </row>
    <row r="191" spans="2:17" x14ac:dyDescent="0.2">
      <c r="B191" s="5" t="s">
        <v>16</v>
      </c>
      <c r="C191" s="5" t="s">
        <v>63</v>
      </c>
      <c r="D191" s="5" t="s">
        <v>31</v>
      </c>
      <c r="E191" s="5" t="s">
        <v>15</v>
      </c>
      <c r="F191" s="5" t="s">
        <v>10</v>
      </c>
      <c r="G191" s="10" t="s">
        <v>11</v>
      </c>
      <c r="H191" s="14">
        <v>130808653</v>
      </c>
      <c r="I191" s="10" t="s">
        <v>32</v>
      </c>
      <c r="J191" s="6">
        <v>46066</v>
      </c>
      <c r="K191" s="27">
        <v>0.12</v>
      </c>
      <c r="L191" s="23">
        <f t="shared" si="48"/>
        <v>779543.44759166671</v>
      </c>
      <c r="M191" s="31">
        <v>735707.54</v>
      </c>
      <c r="N191" s="11">
        <v>45884</v>
      </c>
      <c r="O191" s="11">
        <v>46231</v>
      </c>
      <c r="P191" s="7">
        <f t="shared" ref="P191:P227" si="51">MONTH(O191)</f>
        <v>7</v>
      </c>
      <c r="Q191" s="11">
        <v>46231</v>
      </c>
    </row>
    <row r="192" spans="2:17" x14ac:dyDescent="0.2">
      <c r="B192" s="5" t="s">
        <v>16</v>
      </c>
      <c r="C192" s="5" t="s">
        <v>63</v>
      </c>
      <c r="D192" s="5" t="s">
        <v>31</v>
      </c>
      <c r="E192" s="5" t="s">
        <v>15</v>
      </c>
      <c r="F192" s="5" t="s">
        <v>10</v>
      </c>
      <c r="G192" s="10" t="s">
        <v>11</v>
      </c>
      <c r="H192" s="14">
        <v>130809299</v>
      </c>
      <c r="I192" s="10" t="s">
        <v>32</v>
      </c>
      <c r="J192" s="6">
        <v>46066</v>
      </c>
      <c r="K192" s="27">
        <v>0.155</v>
      </c>
      <c r="L192" s="23">
        <f t="shared" si="48"/>
        <v>1753661.9540079166</v>
      </c>
      <c r="M192" s="31">
        <v>1568862.97</v>
      </c>
      <c r="N192" s="11">
        <v>45884</v>
      </c>
      <c r="O192" s="11">
        <v>46323</v>
      </c>
      <c r="P192" s="7">
        <f t="shared" si="51"/>
        <v>10</v>
      </c>
      <c r="Q192" s="11">
        <v>46323</v>
      </c>
    </row>
    <row r="193" spans="1:17" x14ac:dyDescent="0.2">
      <c r="B193" s="5" t="s">
        <v>16</v>
      </c>
      <c r="C193" s="5" t="s">
        <v>63</v>
      </c>
      <c r="D193" s="5" t="s">
        <v>31</v>
      </c>
      <c r="E193" s="5" t="s">
        <v>15</v>
      </c>
      <c r="F193" s="98" t="s">
        <v>18</v>
      </c>
      <c r="G193" s="10" t="s">
        <v>11</v>
      </c>
      <c r="H193" s="14">
        <v>4009706</v>
      </c>
      <c r="I193" s="10" t="s">
        <v>32</v>
      </c>
      <c r="J193" s="6">
        <v>46066</v>
      </c>
      <c r="K193" s="27">
        <v>0.11310000000000001</v>
      </c>
      <c r="L193" s="23">
        <f t="shared" si="48"/>
        <v>227319.82992044446</v>
      </c>
      <c r="M193" s="31">
        <f t="shared" ref="M193:M197" si="52">1038905.92/5</f>
        <v>207781.18400000001</v>
      </c>
      <c r="N193" s="11">
        <v>45954</v>
      </c>
      <c r="O193" s="11">
        <v>46341</v>
      </c>
      <c r="P193" s="7">
        <f t="shared" si="51"/>
        <v>11</v>
      </c>
      <c r="Q193" s="11">
        <v>47802</v>
      </c>
    </row>
    <row r="194" spans="1:17" x14ac:dyDescent="0.2">
      <c r="A194" s="93"/>
      <c r="B194" s="89" t="s">
        <v>16</v>
      </c>
      <c r="C194" s="89" t="s">
        <v>63</v>
      </c>
      <c r="D194" s="89" t="s">
        <v>31</v>
      </c>
      <c r="E194" s="89" t="s">
        <v>15</v>
      </c>
      <c r="F194" s="98" t="s">
        <v>18</v>
      </c>
      <c r="G194" s="83" t="s">
        <v>11</v>
      </c>
      <c r="H194" s="94">
        <v>4009706</v>
      </c>
      <c r="I194" s="83" t="s">
        <v>32</v>
      </c>
      <c r="J194" s="84">
        <v>46066</v>
      </c>
      <c r="K194" s="85">
        <v>0.11310000000000001</v>
      </c>
      <c r="L194" s="86">
        <f t="shared" si="48"/>
        <v>227319.82992044446</v>
      </c>
      <c r="M194" s="87">
        <f t="shared" si="52"/>
        <v>207781.18400000001</v>
      </c>
      <c r="N194" s="88">
        <v>45884</v>
      </c>
      <c r="O194" s="88">
        <v>46341</v>
      </c>
      <c r="P194" s="7">
        <f t="shared" si="51"/>
        <v>11</v>
      </c>
      <c r="Q194" s="11">
        <v>47802</v>
      </c>
    </row>
    <row r="195" spans="1:17" x14ac:dyDescent="0.2">
      <c r="A195" s="93"/>
      <c r="B195" s="89" t="s">
        <v>16</v>
      </c>
      <c r="C195" s="89" t="s">
        <v>63</v>
      </c>
      <c r="D195" s="89" t="s">
        <v>31</v>
      </c>
      <c r="E195" s="89" t="s">
        <v>15</v>
      </c>
      <c r="F195" s="98" t="s">
        <v>18</v>
      </c>
      <c r="G195" s="83" t="s">
        <v>19</v>
      </c>
      <c r="H195" s="94">
        <v>4009706</v>
      </c>
      <c r="I195" s="83" t="s">
        <v>32</v>
      </c>
      <c r="J195" s="84">
        <v>46066</v>
      </c>
      <c r="K195" s="85">
        <v>0.11310000000000001</v>
      </c>
      <c r="L195" s="86">
        <f t="shared" si="48"/>
        <v>253252.94177848889</v>
      </c>
      <c r="M195" s="87">
        <f t="shared" si="52"/>
        <v>207781.18400000001</v>
      </c>
      <c r="N195" s="88">
        <v>45884</v>
      </c>
      <c r="O195" s="88">
        <v>46706</v>
      </c>
      <c r="P195" s="7">
        <f t="shared" si="51"/>
        <v>11</v>
      </c>
      <c r="Q195" s="11">
        <v>47802</v>
      </c>
    </row>
    <row r="196" spans="1:17" x14ac:dyDescent="0.2">
      <c r="A196" s="93"/>
      <c r="B196" s="89" t="s">
        <v>16</v>
      </c>
      <c r="C196" s="89" t="s">
        <v>63</v>
      </c>
      <c r="D196" s="89" t="s">
        <v>31</v>
      </c>
      <c r="E196" s="89" t="s">
        <v>15</v>
      </c>
      <c r="F196" s="98" t="s">
        <v>18</v>
      </c>
      <c r="G196" s="83" t="s">
        <v>20</v>
      </c>
      <c r="H196" s="94">
        <v>4009706</v>
      </c>
      <c r="I196" s="83" t="s">
        <v>32</v>
      </c>
      <c r="J196" s="84">
        <v>46066</v>
      </c>
      <c r="K196" s="85">
        <v>0.11310000000000001</v>
      </c>
      <c r="L196" s="86">
        <f t="shared" si="48"/>
        <v>279257.10325806221</v>
      </c>
      <c r="M196" s="87">
        <f t="shared" si="52"/>
        <v>207781.18400000001</v>
      </c>
      <c r="N196" s="88">
        <v>45884</v>
      </c>
      <c r="O196" s="88">
        <v>47072</v>
      </c>
      <c r="P196" s="7">
        <f t="shared" si="51"/>
        <v>11</v>
      </c>
      <c r="Q196" s="11">
        <v>47802</v>
      </c>
    </row>
    <row r="197" spans="1:17" x14ac:dyDescent="0.2">
      <c r="A197" s="93"/>
      <c r="B197" s="89" t="s">
        <v>16</v>
      </c>
      <c r="C197" s="89" t="s">
        <v>63</v>
      </c>
      <c r="D197" s="89" t="s">
        <v>31</v>
      </c>
      <c r="E197" s="89" t="s">
        <v>15</v>
      </c>
      <c r="F197" s="98" t="s">
        <v>18</v>
      </c>
      <c r="G197" s="83" t="s">
        <v>21</v>
      </c>
      <c r="H197" s="94">
        <v>4009706</v>
      </c>
      <c r="I197" s="83" t="s">
        <v>32</v>
      </c>
      <c r="J197" s="84">
        <v>46066</v>
      </c>
      <c r="K197" s="85">
        <v>0.11310000000000001</v>
      </c>
      <c r="L197" s="86">
        <f t="shared" si="48"/>
        <v>305190.21511610667</v>
      </c>
      <c r="M197" s="87">
        <f t="shared" si="52"/>
        <v>207781.18400000001</v>
      </c>
      <c r="N197" s="88">
        <v>45884</v>
      </c>
      <c r="O197" s="88">
        <v>47437</v>
      </c>
      <c r="P197" s="7">
        <f t="shared" si="51"/>
        <v>11</v>
      </c>
      <c r="Q197" s="11">
        <v>47802</v>
      </c>
    </row>
    <row r="198" spans="1:17" x14ac:dyDescent="0.2">
      <c r="A198" s="93"/>
      <c r="B198" s="89" t="s">
        <v>16</v>
      </c>
      <c r="C198" s="89" t="s">
        <v>63</v>
      </c>
      <c r="D198" s="89" t="s">
        <v>31</v>
      </c>
      <c r="E198" s="89" t="s">
        <v>15</v>
      </c>
      <c r="F198" s="98" t="s">
        <v>18</v>
      </c>
      <c r="G198" s="83" t="s">
        <v>22</v>
      </c>
      <c r="H198" s="94">
        <v>4009706</v>
      </c>
      <c r="I198" s="83" t="s">
        <v>32</v>
      </c>
      <c r="J198" s="84">
        <v>46066</v>
      </c>
      <c r="K198" s="85">
        <v>0.11310000000000001</v>
      </c>
      <c r="L198" s="86">
        <f t="shared" si="48"/>
        <v>331123.32697415113</v>
      </c>
      <c r="M198" s="87">
        <f>1038905.92/5</f>
        <v>207781.18400000001</v>
      </c>
      <c r="N198" s="88">
        <v>45884</v>
      </c>
      <c r="O198" s="88">
        <v>47802</v>
      </c>
      <c r="P198" s="7">
        <f t="shared" si="51"/>
        <v>11</v>
      </c>
      <c r="Q198" s="11">
        <v>47802</v>
      </c>
    </row>
    <row r="199" spans="1:17" x14ac:dyDescent="0.2">
      <c r="B199" s="5" t="s">
        <v>16</v>
      </c>
      <c r="C199" s="5" t="s">
        <v>63</v>
      </c>
      <c r="D199" s="5" t="s">
        <v>38</v>
      </c>
      <c r="E199" s="5" t="s">
        <v>15</v>
      </c>
      <c r="F199" s="5" t="s">
        <v>10</v>
      </c>
      <c r="G199" s="5" t="s">
        <v>11</v>
      </c>
      <c r="H199" s="5">
        <v>130809080</v>
      </c>
      <c r="I199" s="5" t="s">
        <v>39</v>
      </c>
      <c r="J199" s="6">
        <v>46066</v>
      </c>
      <c r="K199" s="28">
        <v>0.14000000000000001</v>
      </c>
      <c r="L199" s="23">
        <f t="shared" si="48"/>
        <v>3339279.5517249997</v>
      </c>
      <c r="M199" s="31">
        <v>3239398.11</v>
      </c>
      <c r="N199" s="8">
        <v>45866</v>
      </c>
      <c r="O199" s="8">
        <v>46140</v>
      </c>
      <c r="P199" s="7">
        <f t="shared" si="51"/>
        <v>4</v>
      </c>
      <c r="Q199" s="8">
        <v>46140</v>
      </c>
    </row>
    <row r="200" spans="1:17" x14ac:dyDescent="0.2">
      <c r="B200" s="5" t="s">
        <v>16</v>
      </c>
      <c r="C200" s="5" t="s">
        <v>63</v>
      </c>
      <c r="D200" s="5" t="s">
        <v>38</v>
      </c>
      <c r="E200" s="5" t="s">
        <v>15</v>
      </c>
      <c r="F200" s="5" t="s">
        <v>10</v>
      </c>
      <c r="G200" s="5" t="s">
        <v>11</v>
      </c>
      <c r="H200" s="5">
        <v>130809154</v>
      </c>
      <c r="I200" s="5" t="s">
        <v>39</v>
      </c>
      <c r="J200" s="6">
        <v>46066</v>
      </c>
      <c r="K200" s="28">
        <v>0.16</v>
      </c>
      <c r="L200" s="23">
        <f t="shared" si="48"/>
        <v>1181501.3194677779</v>
      </c>
      <c r="M200" s="23">
        <v>1067112.76</v>
      </c>
      <c r="N200" s="8">
        <v>45866</v>
      </c>
      <c r="O200" s="8">
        <v>46293</v>
      </c>
      <c r="P200" s="7">
        <f t="shared" si="51"/>
        <v>9</v>
      </c>
      <c r="Q200" s="6">
        <v>46293</v>
      </c>
    </row>
    <row r="201" spans="1:17" x14ac:dyDescent="0.2">
      <c r="B201" s="5" t="s">
        <v>16</v>
      </c>
      <c r="C201" s="5" t="s">
        <v>63</v>
      </c>
      <c r="D201" s="4" t="s">
        <v>49</v>
      </c>
      <c r="E201" s="4" t="s">
        <v>50</v>
      </c>
      <c r="F201" s="95" t="s">
        <v>18</v>
      </c>
      <c r="G201" s="5" t="s">
        <v>11</v>
      </c>
      <c r="H201" s="4" t="s">
        <v>51</v>
      </c>
      <c r="I201" s="4" t="s">
        <v>12</v>
      </c>
      <c r="J201" s="6">
        <v>46066</v>
      </c>
      <c r="K201" s="54">
        <v>0.12</v>
      </c>
      <c r="L201" s="23">
        <v>381599.5</v>
      </c>
      <c r="M201" s="23">
        <v>367275.7459095284</v>
      </c>
      <c r="N201" s="8">
        <v>44451</v>
      </c>
      <c r="O201" s="8">
        <v>46183</v>
      </c>
      <c r="P201" s="7">
        <f t="shared" si="51"/>
        <v>6</v>
      </c>
      <c r="Q201" s="8">
        <v>46183</v>
      </c>
    </row>
    <row r="202" spans="1:17" x14ac:dyDescent="0.2">
      <c r="B202" s="5" t="s">
        <v>25</v>
      </c>
      <c r="C202" s="5" t="s">
        <v>63</v>
      </c>
      <c r="D202" s="4" t="s">
        <v>24</v>
      </c>
      <c r="E202" s="4" t="s">
        <v>15</v>
      </c>
      <c r="F202" s="95" t="s">
        <v>18</v>
      </c>
      <c r="G202" s="5" t="s">
        <v>11</v>
      </c>
      <c r="H202" s="4">
        <v>4008336</v>
      </c>
      <c r="I202" s="4" t="s">
        <v>12</v>
      </c>
      <c r="J202" s="6">
        <v>46066</v>
      </c>
      <c r="K202" s="26">
        <v>5.8599999999999999E-2</v>
      </c>
      <c r="L202" s="23">
        <f t="shared" ref="L202:L227" si="53">(((O202-J202)*M202*((K202+1%)/12)/30))+M202</f>
        <v>38884.707836433336</v>
      </c>
      <c r="M202" s="23">
        <f t="shared" ref="M202:M204" si="54">113665.11/3</f>
        <v>37888.370000000003</v>
      </c>
      <c r="N202" s="8">
        <v>43343</v>
      </c>
      <c r="O202" s="8">
        <v>46204</v>
      </c>
      <c r="P202" s="7">
        <f t="shared" si="51"/>
        <v>7</v>
      </c>
      <c r="Q202" s="8">
        <v>46935</v>
      </c>
    </row>
    <row r="203" spans="1:17" x14ac:dyDescent="0.2">
      <c r="A203" s="93"/>
      <c r="B203" s="89" t="s">
        <v>25</v>
      </c>
      <c r="C203" s="89" t="s">
        <v>63</v>
      </c>
      <c r="D203" s="90" t="s">
        <v>24</v>
      </c>
      <c r="E203" s="90" t="s">
        <v>15</v>
      </c>
      <c r="F203" s="95" t="s">
        <v>18</v>
      </c>
      <c r="G203" s="89" t="s">
        <v>19</v>
      </c>
      <c r="H203" s="90">
        <v>4008336</v>
      </c>
      <c r="I203" s="90" t="s">
        <v>12</v>
      </c>
      <c r="J203" s="84">
        <v>46066</v>
      </c>
      <c r="K203" s="91">
        <v>5.8599999999999999E-2</v>
      </c>
      <c r="L203" s="86">
        <f t="shared" si="53"/>
        <v>41519.949215405555</v>
      </c>
      <c r="M203" s="86">
        <f t="shared" si="54"/>
        <v>37888.370000000003</v>
      </c>
      <c r="N203" s="92">
        <v>43343</v>
      </c>
      <c r="O203" s="92">
        <v>46569</v>
      </c>
      <c r="P203" s="7">
        <f t="shared" si="51"/>
        <v>7</v>
      </c>
      <c r="Q203" s="8">
        <v>46935</v>
      </c>
    </row>
    <row r="204" spans="1:17" x14ac:dyDescent="0.2">
      <c r="B204" s="5" t="s">
        <v>25</v>
      </c>
      <c r="C204" s="5" t="s">
        <v>63</v>
      </c>
      <c r="D204" s="4" t="s">
        <v>24</v>
      </c>
      <c r="E204" s="4" t="s">
        <v>15</v>
      </c>
      <c r="F204" s="95" t="s">
        <v>18</v>
      </c>
      <c r="G204" s="5" t="s">
        <v>20</v>
      </c>
      <c r="H204" s="4">
        <v>4008336</v>
      </c>
      <c r="I204" s="4" t="s">
        <v>12</v>
      </c>
      <c r="J204" s="6">
        <v>46066</v>
      </c>
      <c r="K204" s="26">
        <v>5.8599999999999999E-2</v>
      </c>
      <c r="L204" s="23">
        <f t="shared" si="53"/>
        <v>44162.410433772224</v>
      </c>
      <c r="M204" s="23">
        <f t="shared" si="54"/>
        <v>37888.370000000003</v>
      </c>
      <c r="N204" s="8">
        <v>43343</v>
      </c>
      <c r="O204" s="8">
        <v>46935</v>
      </c>
      <c r="P204" s="7">
        <f t="shared" si="51"/>
        <v>7</v>
      </c>
      <c r="Q204" s="8">
        <v>46935</v>
      </c>
    </row>
    <row r="205" spans="1:17" x14ac:dyDescent="0.2">
      <c r="B205" s="5" t="s">
        <v>25</v>
      </c>
      <c r="C205" s="5" t="s">
        <v>63</v>
      </c>
      <c r="D205" s="4" t="s">
        <v>24</v>
      </c>
      <c r="E205" s="4" t="s">
        <v>15</v>
      </c>
      <c r="F205" s="95" t="s">
        <v>18</v>
      </c>
      <c r="G205" s="5" t="s">
        <v>11</v>
      </c>
      <c r="H205" s="4">
        <v>4008408</v>
      </c>
      <c r="I205" s="4" t="s">
        <v>12</v>
      </c>
      <c r="J205" s="6">
        <v>46066</v>
      </c>
      <c r="K205" s="26">
        <v>5.8599999999999999E-2</v>
      </c>
      <c r="L205" s="23">
        <f t="shared" si="53"/>
        <v>51516.85907259259</v>
      </c>
      <c r="M205" s="23">
        <f t="shared" ref="M205:M207" si="55">148876.72/3</f>
        <v>49625.573333333334</v>
      </c>
      <c r="N205" s="8">
        <v>43377</v>
      </c>
      <c r="O205" s="8">
        <v>46266</v>
      </c>
      <c r="P205" s="7">
        <f t="shared" si="51"/>
        <v>9</v>
      </c>
      <c r="Q205" s="8">
        <v>46997</v>
      </c>
    </row>
    <row r="206" spans="1:17" x14ac:dyDescent="0.2">
      <c r="B206" s="5" t="s">
        <v>25</v>
      </c>
      <c r="C206" s="5" t="s">
        <v>63</v>
      </c>
      <c r="D206" s="4" t="s">
        <v>24</v>
      </c>
      <c r="E206" s="4" t="s">
        <v>15</v>
      </c>
      <c r="F206" s="95" t="s">
        <v>18</v>
      </c>
      <c r="G206" s="5" t="s">
        <v>19</v>
      </c>
      <c r="H206" s="4">
        <v>4008408</v>
      </c>
      <c r="I206" s="4" t="s">
        <v>12</v>
      </c>
      <c r="J206" s="6">
        <v>46066</v>
      </c>
      <c r="K206" s="26">
        <v>5.8599999999999999E-2</v>
      </c>
      <c r="L206" s="23">
        <f t="shared" si="53"/>
        <v>54968.455546740741</v>
      </c>
      <c r="M206" s="23">
        <f t="shared" si="55"/>
        <v>49625.573333333334</v>
      </c>
      <c r="N206" s="8">
        <v>43377</v>
      </c>
      <c r="O206" s="8">
        <v>46631</v>
      </c>
      <c r="P206" s="7">
        <f t="shared" si="51"/>
        <v>9</v>
      </c>
      <c r="Q206" s="8">
        <v>46997</v>
      </c>
    </row>
    <row r="207" spans="1:17" x14ac:dyDescent="0.2">
      <c r="B207" s="5" t="s">
        <v>25</v>
      </c>
      <c r="C207" s="5" t="s">
        <v>63</v>
      </c>
      <c r="D207" s="4" t="s">
        <v>24</v>
      </c>
      <c r="E207" s="4" t="s">
        <v>15</v>
      </c>
      <c r="F207" s="95" t="s">
        <v>18</v>
      </c>
      <c r="G207" s="5" t="s">
        <v>20</v>
      </c>
      <c r="H207" s="4">
        <v>4008408</v>
      </c>
      <c r="I207" s="4" t="s">
        <v>12</v>
      </c>
      <c r="J207" s="6">
        <v>46066</v>
      </c>
      <c r="K207" s="26">
        <v>5.8599999999999999E-2</v>
      </c>
      <c r="L207" s="23">
        <f t="shared" si="53"/>
        <v>58429.508449585184</v>
      </c>
      <c r="M207" s="23">
        <f t="shared" si="55"/>
        <v>49625.573333333334</v>
      </c>
      <c r="N207" s="8">
        <v>43377</v>
      </c>
      <c r="O207" s="8">
        <v>46997</v>
      </c>
      <c r="P207" s="7">
        <f t="shared" si="51"/>
        <v>9</v>
      </c>
      <c r="Q207" s="8">
        <v>46997</v>
      </c>
    </row>
    <row r="208" spans="1:17" x14ac:dyDescent="0.2">
      <c r="B208" s="5" t="s">
        <v>25</v>
      </c>
      <c r="C208" s="5" t="s">
        <v>63</v>
      </c>
      <c r="D208" s="5" t="s">
        <v>31</v>
      </c>
      <c r="E208" s="5" t="s">
        <v>15</v>
      </c>
      <c r="F208" s="98" t="s">
        <v>18</v>
      </c>
      <c r="G208" s="10" t="s">
        <v>11</v>
      </c>
      <c r="H208" s="15">
        <v>130808143</v>
      </c>
      <c r="I208" s="10" t="s">
        <v>32</v>
      </c>
      <c r="J208" s="6">
        <v>46066</v>
      </c>
      <c r="K208" s="27">
        <v>0.13700000000000001</v>
      </c>
      <c r="L208" s="23">
        <f t="shared" si="53"/>
        <v>169766.96239281251</v>
      </c>
      <c r="M208" s="33">
        <f t="shared" ref="M208:M211" si="56">636203.63/4</f>
        <v>159050.9075</v>
      </c>
      <c r="N208" s="11">
        <v>45884</v>
      </c>
      <c r="O208" s="11">
        <v>46231</v>
      </c>
      <c r="P208" s="7">
        <f t="shared" si="51"/>
        <v>7</v>
      </c>
      <c r="Q208" s="11">
        <v>47327</v>
      </c>
    </row>
    <row r="209" spans="2:17" x14ac:dyDescent="0.2">
      <c r="B209" s="5" t="s">
        <v>25</v>
      </c>
      <c r="C209" s="5" t="s">
        <v>63</v>
      </c>
      <c r="D209" s="5" t="s">
        <v>31</v>
      </c>
      <c r="E209" s="5" t="s">
        <v>15</v>
      </c>
      <c r="F209" s="98" t="s">
        <v>18</v>
      </c>
      <c r="G209" s="10" t="s">
        <v>19</v>
      </c>
      <c r="H209" s="15">
        <v>130808143</v>
      </c>
      <c r="I209" s="10" t="s">
        <v>32</v>
      </c>
      <c r="J209" s="6">
        <v>46066</v>
      </c>
      <c r="K209" s="27">
        <v>0.13700000000000001</v>
      </c>
      <c r="L209" s="23">
        <f t="shared" si="53"/>
        <v>193472.17473145833</v>
      </c>
      <c r="M209" s="33">
        <f t="shared" si="56"/>
        <v>159050.9075</v>
      </c>
      <c r="N209" s="11">
        <v>45884</v>
      </c>
      <c r="O209" s="11">
        <v>46596</v>
      </c>
      <c r="P209" s="7">
        <f t="shared" si="51"/>
        <v>7</v>
      </c>
      <c r="Q209" s="11">
        <v>47327</v>
      </c>
    </row>
    <row r="210" spans="2:17" x14ac:dyDescent="0.2">
      <c r="B210" s="5" t="s">
        <v>25</v>
      </c>
      <c r="C210" s="5" t="s">
        <v>63</v>
      </c>
      <c r="D210" s="5" t="s">
        <v>31</v>
      </c>
      <c r="E210" s="5" t="s">
        <v>15</v>
      </c>
      <c r="F210" s="98" t="s">
        <v>18</v>
      </c>
      <c r="G210" s="10" t="s">
        <v>20</v>
      </c>
      <c r="H210" s="15">
        <v>130808143</v>
      </c>
      <c r="I210" s="10" t="s">
        <v>32</v>
      </c>
      <c r="J210" s="6">
        <v>46066</v>
      </c>
      <c r="K210" s="27">
        <v>0.13700000000000001</v>
      </c>
      <c r="L210" s="23">
        <f t="shared" si="53"/>
        <v>217242.33285733336</v>
      </c>
      <c r="M210" s="33">
        <f t="shared" si="56"/>
        <v>159050.9075</v>
      </c>
      <c r="N210" s="11">
        <v>45884</v>
      </c>
      <c r="O210" s="11">
        <v>46962</v>
      </c>
      <c r="P210" s="7">
        <f t="shared" si="51"/>
        <v>7</v>
      </c>
      <c r="Q210" s="11">
        <v>47327</v>
      </c>
    </row>
    <row r="211" spans="2:17" x14ac:dyDescent="0.2">
      <c r="B211" s="5" t="s">
        <v>25</v>
      </c>
      <c r="C211" s="5" t="s">
        <v>63</v>
      </c>
      <c r="D211" s="5" t="s">
        <v>31</v>
      </c>
      <c r="E211" s="5" t="s">
        <v>15</v>
      </c>
      <c r="F211" s="98" t="s">
        <v>18</v>
      </c>
      <c r="G211" s="10" t="s">
        <v>21</v>
      </c>
      <c r="H211" s="15">
        <v>130808143</v>
      </c>
      <c r="I211" s="10" t="s">
        <v>32</v>
      </c>
      <c r="J211" s="6">
        <v>46066</v>
      </c>
      <c r="K211" s="27">
        <v>0.13700000000000001</v>
      </c>
      <c r="L211" s="23">
        <f t="shared" si="53"/>
        <v>240947.54519597918</v>
      </c>
      <c r="M211" s="33">
        <f t="shared" si="56"/>
        <v>159050.9075</v>
      </c>
      <c r="N211" s="11">
        <v>45884</v>
      </c>
      <c r="O211" s="11">
        <v>47327</v>
      </c>
      <c r="P211" s="7">
        <f t="shared" si="51"/>
        <v>7</v>
      </c>
      <c r="Q211" s="11">
        <v>47327</v>
      </c>
    </row>
    <row r="212" spans="2:17" x14ac:dyDescent="0.2">
      <c r="B212" s="5" t="s">
        <v>25</v>
      </c>
      <c r="C212" s="5" t="s">
        <v>63</v>
      </c>
      <c r="D212" s="5" t="s">
        <v>31</v>
      </c>
      <c r="E212" s="5" t="s">
        <v>15</v>
      </c>
      <c r="F212" s="98" t="s">
        <v>18</v>
      </c>
      <c r="G212" s="10" t="s">
        <v>11</v>
      </c>
      <c r="H212" s="4">
        <v>130808195</v>
      </c>
      <c r="I212" s="10" t="s">
        <v>32</v>
      </c>
      <c r="J212" s="6">
        <v>46066</v>
      </c>
      <c r="K212" s="27">
        <v>0.13800000000000001</v>
      </c>
      <c r="L212" s="23">
        <f t="shared" si="53"/>
        <v>483415.22439583333</v>
      </c>
      <c r="M212" s="33">
        <f t="shared" ref="M212:M215" si="57">1810826.5/4</f>
        <v>452706.625</v>
      </c>
      <c r="N212" s="11">
        <v>45884</v>
      </c>
      <c r="O212" s="11">
        <v>46231</v>
      </c>
      <c r="P212" s="7">
        <f t="shared" si="51"/>
        <v>7</v>
      </c>
      <c r="Q212" s="11">
        <v>47327</v>
      </c>
    </row>
    <row r="213" spans="2:17" x14ac:dyDescent="0.2">
      <c r="B213" s="5" t="s">
        <v>25</v>
      </c>
      <c r="C213" s="5" t="s">
        <v>63</v>
      </c>
      <c r="D213" s="5" t="s">
        <v>31</v>
      </c>
      <c r="E213" s="5" t="s">
        <v>15</v>
      </c>
      <c r="F213" s="98" t="s">
        <v>18</v>
      </c>
      <c r="G213" s="10" t="s">
        <v>19</v>
      </c>
      <c r="H213" s="4">
        <v>130808195</v>
      </c>
      <c r="I213" s="10" t="s">
        <v>32</v>
      </c>
      <c r="J213" s="6">
        <v>46066</v>
      </c>
      <c r="K213" s="27">
        <v>0.13800000000000001</v>
      </c>
      <c r="L213" s="23">
        <f t="shared" si="53"/>
        <v>551346.36851388891</v>
      </c>
      <c r="M213" s="33">
        <f t="shared" si="57"/>
        <v>452706.625</v>
      </c>
      <c r="N213" s="11">
        <v>45884</v>
      </c>
      <c r="O213" s="11">
        <v>46596</v>
      </c>
      <c r="P213" s="7">
        <f t="shared" si="51"/>
        <v>7</v>
      </c>
      <c r="Q213" s="11">
        <v>47327</v>
      </c>
    </row>
    <row r="214" spans="2:17" x14ac:dyDescent="0.2">
      <c r="B214" s="5" t="s">
        <v>25</v>
      </c>
      <c r="C214" s="5" t="s">
        <v>63</v>
      </c>
      <c r="D214" s="5" t="s">
        <v>31</v>
      </c>
      <c r="E214" s="5" t="s">
        <v>15</v>
      </c>
      <c r="F214" s="98" t="s">
        <v>18</v>
      </c>
      <c r="G214" s="10" t="s">
        <v>20</v>
      </c>
      <c r="H214" s="4">
        <v>130808195</v>
      </c>
      <c r="I214" s="10" t="s">
        <v>32</v>
      </c>
      <c r="J214" s="6">
        <v>46066</v>
      </c>
      <c r="K214" s="27">
        <v>0.13800000000000001</v>
      </c>
      <c r="L214" s="23">
        <f t="shared" si="53"/>
        <v>619463.62535555556</v>
      </c>
      <c r="M214" s="33">
        <f t="shared" si="57"/>
        <v>452706.625</v>
      </c>
      <c r="N214" s="11">
        <v>45884</v>
      </c>
      <c r="O214" s="11">
        <v>46962</v>
      </c>
      <c r="P214" s="7">
        <f t="shared" si="51"/>
        <v>7</v>
      </c>
      <c r="Q214" s="11">
        <v>47327</v>
      </c>
    </row>
    <row r="215" spans="2:17" x14ac:dyDescent="0.2">
      <c r="B215" s="5" t="s">
        <v>25</v>
      </c>
      <c r="C215" s="5" t="s">
        <v>63</v>
      </c>
      <c r="D215" s="5" t="s">
        <v>31</v>
      </c>
      <c r="E215" s="5" t="s">
        <v>15</v>
      </c>
      <c r="F215" s="98" t="s">
        <v>18</v>
      </c>
      <c r="G215" s="10" t="s">
        <v>21</v>
      </c>
      <c r="H215" s="4">
        <v>130808195</v>
      </c>
      <c r="I215" s="10" t="s">
        <v>32</v>
      </c>
      <c r="J215" s="6">
        <v>46066</v>
      </c>
      <c r="K215" s="27">
        <v>0.13800000000000001</v>
      </c>
      <c r="L215" s="23">
        <f t="shared" si="53"/>
        <v>687394.76947361114</v>
      </c>
      <c r="M215" s="33">
        <f t="shared" si="57"/>
        <v>452706.625</v>
      </c>
      <c r="N215" s="11">
        <v>45884</v>
      </c>
      <c r="O215" s="11">
        <v>47327</v>
      </c>
      <c r="P215" s="7">
        <f t="shared" si="51"/>
        <v>7</v>
      </c>
      <c r="Q215" s="11">
        <v>47327</v>
      </c>
    </row>
    <row r="216" spans="2:17" x14ac:dyDescent="0.2">
      <c r="B216" s="5" t="s">
        <v>25</v>
      </c>
      <c r="C216" s="5" t="s">
        <v>63</v>
      </c>
      <c r="D216" s="5" t="s">
        <v>31</v>
      </c>
      <c r="E216" s="5" t="s">
        <v>15</v>
      </c>
      <c r="F216" s="5" t="s">
        <v>10</v>
      </c>
      <c r="G216" s="10" t="s">
        <v>11</v>
      </c>
      <c r="H216" s="4">
        <v>130808356</v>
      </c>
      <c r="I216" s="10" t="s">
        <v>32</v>
      </c>
      <c r="J216" s="6">
        <v>46066</v>
      </c>
      <c r="K216" s="27">
        <v>0.12</v>
      </c>
      <c r="L216" s="23">
        <f t="shared" si="53"/>
        <v>642999.79631666664</v>
      </c>
      <c r="M216" s="33">
        <v>606842.12</v>
      </c>
      <c r="N216" s="11">
        <v>45884</v>
      </c>
      <c r="O216" s="11">
        <v>46231</v>
      </c>
      <c r="P216" s="7">
        <f t="shared" si="51"/>
        <v>7</v>
      </c>
      <c r="Q216" s="11">
        <v>46231</v>
      </c>
    </row>
    <row r="217" spans="2:17" x14ac:dyDescent="0.2">
      <c r="B217" s="5" t="s">
        <v>25</v>
      </c>
      <c r="C217" s="5" t="s">
        <v>63</v>
      </c>
      <c r="D217" s="5" t="s">
        <v>31</v>
      </c>
      <c r="E217" s="5" t="s">
        <v>15</v>
      </c>
      <c r="F217" s="98" t="s">
        <v>18</v>
      </c>
      <c r="G217" s="5" t="s">
        <v>11</v>
      </c>
      <c r="H217" s="4">
        <v>130808605</v>
      </c>
      <c r="I217" s="10" t="s">
        <v>32</v>
      </c>
      <c r="J217" s="6">
        <v>46066</v>
      </c>
      <c r="K217" s="27">
        <v>0.13250000000000001</v>
      </c>
      <c r="L217" s="23">
        <f t="shared" si="53"/>
        <v>204415.02286406248</v>
      </c>
      <c r="M217" s="31">
        <f t="shared" ref="M217:M220" si="58">767530.74/4</f>
        <v>191882.685</v>
      </c>
      <c r="N217" s="11">
        <v>45884</v>
      </c>
      <c r="O217" s="11">
        <v>46231</v>
      </c>
      <c r="P217" s="7">
        <f t="shared" si="51"/>
        <v>7</v>
      </c>
      <c r="Q217" s="11">
        <v>46231</v>
      </c>
    </row>
    <row r="218" spans="2:17" x14ac:dyDescent="0.2">
      <c r="B218" s="5" t="s">
        <v>25</v>
      </c>
      <c r="C218" s="5" t="s">
        <v>63</v>
      </c>
      <c r="D218" s="5" t="s">
        <v>31</v>
      </c>
      <c r="E218" s="5" t="s">
        <v>15</v>
      </c>
      <c r="F218" s="98" t="s">
        <v>18</v>
      </c>
      <c r="G218" s="5" t="s">
        <v>19</v>
      </c>
      <c r="H218" s="4">
        <v>130808605</v>
      </c>
      <c r="I218" s="10" t="s">
        <v>32</v>
      </c>
      <c r="J218" s="6">
        <v>46066</v>
      </c>
      <c r="K218" s="27">
        <v>0.13250000000000001</v>
      </c>
      <c r="L218" s="23">
        <f t="shared" si="53"/>
        <v>232138.07329062501</v>
      </c>
      <c r="M218" s="31">
        <f t="shared" si="58"/>
        <v>191882.685</v>
      </c>
      <c r="N218" s="11">
        <v>45884</v>
      </c>
      <c r="O218" s="11">
        <v>46596</v>
      </c>
      <c r="P218" s="7">
        <f t="shared" si="51"/>
        <v>7</v>
      </c>
      <c r="Q218" s="11">
        <v>46596</v>
      </c>
    </row>
    <row r="219" spans="2:17" x14ac:dyDescent="0.2">
      <c r="B219" s="5" t="s">
        <v>25</v>
      </c>
      <c r="C219" s="5" t="s">
        <v>63</v>
      </c>
      <c r="D219" s="5" t="s">
        <v>31</v>
      </c>
      <c r="E219" s="5" t="s">
        <v>15</v>
      </c>
      <c r="F219" s="98" t="s">
        <v>18</v>
      </c>
      <c r="G219" s="5" t="s">
        <v>20</v>
      </c>
      <c r="H219" s="4">
        <v>130808605</v>
      </c>
      <c r="I219" s="10" t="s">
        <v>32</v>
      </c>
      <c r="J219" s="6">
        <v>46066</v>
      </c>
      <c r="K219" s="27">
        <v>0.13250000000000001</v>
      </c>
      <c r="L219" s="23">
        <f t="shared" si="53"/>
        <v>259937.07728</v>
      </c>
      <c r="M219" s="31">
        <f t="shared" si="58"/>
        <v>191882.685</v>
      </c>
      <c r="N219" s="11">
        <v>45884</v>
      </c>
      <c r="O219" s="11">
        <v>46962</v>
      </c>
      <c r="P219" s="7">
        <f t="shared" si="51"/>
        <v>7</v>
      </c>
      <c r="Q219" s="11">
        <v>46962</v>
      </c>
    </row>
    <row r="220" spans="2:17" x14ac:dyDescent="0.2">
      <c r="B220" s="5" t="s">
        <v>25</v>
      </c>
      <c r="C220" s="5" t="s">
        <v>63</v>
      </c>
      <c r="D220" s="5" t="s">
        <v>31</v>
      </c>
      <c r="E220" s="5" t="s">
        <v>15</v>
      </c>
      <c r="F220" s="98" t="s">
        <v>18</v>
      </c>
      <c r="G220" s="5" t="s">
        <v>21</v>
      </c>
      <c r="H220" s="4">
        <v>130808605</v>
      </c>
      <c r="I220" s="10" t="s">
        <v>32</v>
      </c>
      <c r="J220" s="6">
        <v>46066</v>
      </c>
      <c r="K220" s="27">
        <v>0.13250000000000001</v>
      </c>
      <c r="L220" s="23">
        <f t="shared" si="53"/>
        <v>287660.12770656252</v>
      </c>
      <c r="M220" s="31">
        <f t="shared" si="58"/>
        <v>191882.685</v>
      </c>
      <c r="N220" s="11">
        <v>45884</v>
      </c>
      <c r="O220" s="11">
        <v>47327</v>
      </c>
      <c r="P220" s="7">
        <f t="shared" si="51"/>
        <v>7</v>
      </c>
      <c r="Q220" s="11">
        <v>47327</v>
      </c>
    </row>
    <row r="221" spans="2:17" x14ac:dyDescent="0.2">
      <c r="B221" s="5" t="s">
        <v>25</v>
      </c>
      <c r="C221" s="5" t="s">
        <v>63</v>
      </c>
      <c r="D221" s="5" t="s">
        <v>31</v>
      </c>
      <c r="E221" s="5" t="s">
        <v>15</v>
      </c>
      <c r="F221" s="98" t="s">
        <v>18</v>
      </c>
      <c r="G221" s="10" t="s">
        <v>11</v>
      </c>
      <c r="H221" s="4">
        <v>4009708</v>
      </c>
      <c r="I221" s="10" t="s">
        <v>32</v>
      </c>
      <c r="J221" s="6">
        <v>46066</v>
      </c>
      <c r="K221" s="27">
        <v>0.11310000000000001</v>
      </c>
      <c r="L221" s="23">
        <f t="shared" si="53"/>
        <v>181855.86262351388</v>
      </c>
      <c r="M221" s="31">
        <f t="shared" ref="M221:M225" si="59">831124.73/5</f>
        <v>166224.946</v>
      </c>
      <c r="N221" s="11">
        <v>45954</v>
      </c>
      <c r="O221" s="11">
        <v>46341</v>
      </c>
      <c r="P221" s="7">
        <f t="shared" si="51"/>
        <v>11</v>
      </c>
      <c r="Q221" s="11">
        <v>47802</v>
      </c>
    </row>
    <row r="222" spans="2:17" x14ac:dyDescent="0.2">
      <c r="B222" s="5" t="s">
        <v>25</v>
      </c>
      <c r="C222" s="5" t="s">
        <v>63</v>
      </c>
      <c r="D222" s="5" t="s">
        <v>31</v>
      </c>
      <c r="E222" s="5" t="s">
        <v>15</v>
      </c>
      <c r="F222" s="98" t="s">
        <v>18</v>
      </c>
      <c r="G222" s="10" t="s">
        <v>19</v>
      </c>
      <c r="H222" s="4">
        <v>4009708</v>
      </c>
      <c r="I222" s="10" t="s">
        <v>32</v>
      </c>
      <c r="J222" s="6">
        <v>46066</v>
      </c>
      <c r="K222" s="27">
        <v>0.11310000000000001</v>
      </c>
      <c r="L222" s="23">
        <f t="shared" si="53"/>
        <v>202602.35196017777</v>
      </c>
      <c r="M222" s="31">
        <f t="shared" si="59"/>
        <v>166224.946</v>
      </c>
      <c r="N222" s="11">
        <v>45954</v>
      </c>
      <c r="O222" s="11">
        <v>46706</v>
      </c>
      <c r="P222" s="7">
        <f t="shared" si="51"/>
        <v>11</v>
      </c>
      <c r="Q222" s="11">
        <v>47802</v>
      </c>
    </row>
    <row r="223" spans="2:17" x14ac:dyDescent="0.2">
      <c r="B223" s="5" t="s">
        <v>25</v>
      </c>
      <c r="C223" s="5" t="s">
        <v>63</v>
      </c>
      <c r="D223" s="5" t="s">
        <v>31</v>
      </c>
      <c r="E223" s="5" t="s">
        <v>15</v>
      </c>
      <c r="F223" s="98" t="s">
        <v>18</v>
      </c>
      <c r="G223" s="10" t="s">
        <v>20</v>
      </c>
      <c r="H223" s="4">
        <v>4009708</v>
      </c>
      <c r="I223" s="10" t="s">
        <v>32</v>
      </c>
      <c r="J223" s="6">
        <v>46066</v>
      </c>
      <c r="K223" s="27">
        <v>0.11310000000000001</v>
      </c>
      <c r="L223" s="23">
        <f t="shared" si="53"/>
        <v>223405.68099365445</v>
      </c>
      <c r="M223" s="31">
        <f t="shared" si="59"/>
        <v>166224.946</v>
      </c>
      <c r="N223" s="11">
        <v>45954</v>
      </c>
      <c r="O223" s="11">
        <v>47072</v>
      </c>
      <c r="P223" s="7">
        <f t="shared" si="51"/>
        <v>11</v>
      </c>
      <c r="Q223" s="11">
        <v>47802</v>
      </c>
    </row>
    <row r="224" spans="2:17" x14ac:dyDescent="0.2">
      <c r="B224" s="5" t="s">
        <v>25</v>
      </c>
      <c r="C224" s="5" t="s">
        <v>63</v>
      </c>
      <c r="D224" s="5" t="s">
        <v>31</v>
      </c>
      <c r="E224" s="5" t="s">
        <v>15</v>
      </c>
      <c r="F224" s="98" t="s">
        <v>18</v>
      </c>
      <c r="G224" s="19" t="s">
        <v>21</v>
      </c>
      <c r="H224" s="4">
        <v>4009708</v>
      </c>
      <c r="I224" s="10" t="s">
        <v>32</v>
      </c>
      <c r="J224" s="6">
        <v>46066</v>
      </c>
      <c r="K224" s="27">
        <v>0.11310000000000001</v>
      </c>
      <c r="L224" s="23">
        <f t="shared" si="53"/>
        <v>244152.17033031833</v>
      </c>
      <c r="M224" s="31">
        <f t="shared" si="59"/>
        <v>166224.946</v>
      </c>
      <c r="N224" s="11">
        <v>45954</v>
      </c>
      <c r="O224" s="11">
        <v>47437</v>
      </c>
      <c r="P224" s="7">
        <f t="shared" si="51"/>
        <v>11</v>
      </c>
      <c r="Q224" s="11">
        <v>47802</v>
      </c>
    </row>
    <row r="225" spans="1:18" x14ac:dyDescent="0.2">
      <c r="B225" s="5" t="s">
        <v>25</v>
      </c>
      <c r="C225" s="5" t="s">
        <v>63</v>
      </c>
      <c r="D225" s="5" t="s">
        <v>31</v>
      </c>
      <c r="E225" s="5" t="s">
        <v>15</v>
      </c>
      <c r="F225" s="98" t="s">
        <v>18</v>
      </c>
      <c r="G225" s="12" t="s">
        <v>22</v>
      </c>
      <c r="H225" s="4">
        <v>4009708</v>
      </c>
      <c r="I225" s="10" t="s">
        <v>32</v>
      </c>
      <c r="J225" s="6">
        <v>46066</v>
      </c>
      <c r="K225" s="27">
        <v>0.11310000000000001</v>
      </c>
      <c r="L225" s="23">
        <f t="shared" si="53"/>
        <v>264898.65966698225</v>
      </c>
      <c r="M225" s="31">
        <f t="shared" si="59"/>
        <v>166224.946</v>
      </c>
      <c r="N225" s="11">
        <v>45954</v>
      </c>
      <c r="O225" s="11">
        <v>47802</v>
      </c>
      <c r="P225" s="7">
        <f t="shared" si="51"/>
        <v>11</v>
      </c>
      <c r="Q225" s="11">
        <v>47802</v>
      </c>
    </row>
    <row r="226" spans="1:18" x14ac:dyDescent="0.2">
      <c r="B226" s="5" t="s">
        <v>25</v>
      </c>
      <c r="C226" s="5" t="s">
        <v>63</v>
      </c>
      <c r="D226" s="5" t="s">
        <v>38</v>
      </c>
      <c r="E226" s="5" t="s">
        <v>15</v>
      </c>
      <c r="F226" s="5" t="s">
        <v>10</v>
      </c>
      <c r="G226" s="12" t="s">
        <v>11</v>
      </c>
      <c r="H226" s="5">
        <v>130809078</v>
      </c>
      <c r="I226" s="5" t="s">
        <v>39</v>
      </c>
      <c r="J226" s="6">
        <v>46066</v>
      </c>
      <c r="K226" s="28">
        <v>0.14000000000000001</v>
      </c>
      <c r="L226" s="23">
        <f t="shared" si="53"/>
        <v>3339279.5517249997</v>
      </c>
      <c r="M226" s="31">
        <v>3239398.11</v>
      </c>
      <c r="N226" s="8">
        <v>45866</v>
      </c>
      <c r="O226" s="8">
        <v>46140</v>
      </c>
      <c r="P226" s="7">
        <f t="shared" si="51"/>
        <v>4</v>
      </c>
      <c r="Q226" s="8">
        <v>46140</v>
      </c>
    </row>
    <row r="227" spans="1:18" x14ac:dyDescent="0.2">
      <c r="B227" s="5" t="s">
        <v>25</v>
      </c>
      <c r="C227" s="5" t="s">
        <v>63</v>
      </c>
      <c r="D227" s="5" t="s">
        <v>38</v>
      </c>
      <c r="E227" s="5" t="s">
        <v>15</v>
      </c>
      <c r="F227" s="5" t="s">
        <v>10</v>
      </c>
      <c r="G227" s="12" t="s">
        <v>11</v>
      </c>
      <c r="H227" s="4">
        <v>130809174</v>
      </c>
      <c r="I227" s="5" t="s">
        <v>39</v>
      </c>
      <c r="J227" s="6">
        <v>46066</v>
      </c>
      <c r="K227" s="28">
        <v>0.16</v>
      </c>
      <c r="L227" s="23">
        <f t="shared" si="53"/>
        <v>1428846.4526844446</v>
      </c>
      <c r="M227" s="23">
        <v>1380602.08</v>
      </c>
      <c r="N227" s="8">
        <v>45866</v>
      </c>
      <c r="O227" s="8">
        <v>46140</v>
      </c>
      <c r="P227" s="7">
        <f t="shared" si="51"/>
        <v>4</v>
      </c>
      <c r="Q227" s="8">
        <v>46140</v>
      </c>
    </row>
    <row r="228" spans="1:18" x14ac:dyDescent="0.2">
      <c r="K228" s="17"/>
      <c r="L228" s="17"/>
      <c r="M228" s="17"/>
    </row>
    <row r="229" spans="1:18" x14ac:dyDescent="0.2">
      <c r="K229" s="17"/>
      <c r="L229" s="17"/>
      <c r="M229" s="17"/>
    </row>
    <row r="230" spans="1:18" x14ac:dyDescent="0.2">
      <c r="K230" s="17"/>
      <c r="L230" s="17"/>
      <c r="M230" s="17"/>
    </row>
    <row r="231" spans="1:18" x14ac:dyDescent="0.2">
      <c r="K231" s="17"/>
      <c r="L231" s="17"/>
      <c r="M231" s="17"/>
    </row>
    <row r="232" spans="1:18" x14ac:dyDescent="0.2">
      <c r="K232" s="17"/>
      <c r="L232" s="17"/>
      <c r="M232" s="17"/>
    </row>
    <row r="233" spans="1:18" s="17" customFormat="1" x14ac:dyDescent="0.2">
      <c r="A233" s="9"/>
    </row>
    <row r="234" spans="1:18" x14ac:dyDescent="0.2">
      <c r="K234" s="17"/>
      <c r="L234" s="17"/>
      <c r="M234" s="17"/>
    </row>
    <row r="235" spans="1:18" x14ac:dyDescent="0.2">
      <c r="K235" s="17"/>
      <c r="L235" s="17"/>
      <c r="M235" s="17"/>
      <c r="R235" s="17"/>
    </row>
    <row r="236" spans="1:18" x14ac:dyDescent="0.2">
      <c r="K236" s="17"/>
      <c r="L236" s="17"/>
      <c r="M236" s="17"/>
      <c r="R236" s="17"/>
    </row>
    <row r="237" spans="1:18" x14ac:dyDescent="0.2">
      <c r="K237" s="17"/>
      <c r="L237" s="17"/>
      <c r="M237" s="17"/>
      <c r="R237" s="17"/>
    </row>
    <row r="238" spans="1:18" x14ac:dyDescent="0.2">
      <c r="K238" s="17"/>
      <c r="L238" s="17"/>
      <c r="M238" s="17"/>
      <c r="R238" s="17"/>
    </row>
    <row r="239" spans="1:18" x14ac:dyDescent="0.2">
      <c r="K239" s="17"/>
      <c r="L239" s="17"/>
      <c r="M239" s="17"/>
      <c r="R239" s="17"/>
    </row>
    <row r="240" spans="1:18" x14ac:dyDescent="0.2">
      <c r="K240" s="17"/>
      <c r="L240" s="17"/>
      <c r="M240" s="17"/>
      <c r="R240" s="17"/>
    </row>
    <row r="241" spans="11:18" x14ac:dyDescent="0.2">
      <c r="K241" s="17"/>
      <c r="L241" s="17"/>
      <c r="M241" s="17"/>
      <c r="R241" s="17"/>
    </row>
    <row r="242" spans="11:18" x14ac:dyDescent="0.2">
      <c r="K242" s="17"/>
      <c r="L242" s="17"/>
      <c r="M242" s="17"/>
      <c r="R242" s="17"/>
    </row>
    <row r="243" spans="11:18" x14ac:dyDescent="0.2">
      <c r="K243" s="17"/>
      <c r="L243" s="17"/>
      <c r="M243" s="17"/>
      <c r="R243" s="17"/>
    </row>
    <row r="244" spans="11:18" x14ac:dyDescent="0.2">
      <c r="K244" s="17"/>
      <c r="L244" s="17"/>
      <c r="M244" s="17"/>
      <c r="R244" s="17"/>
    </row>
    <row r="245" spans="11:18" x14ac:dyDescent="0.2">
      <c r="K245" s="17"/>
      <c r="L245" s="17"/>
      <c r="M245" s="17"/>
      <c r="R245" s="17"/>
    </row>
    <row r="246" spans="11:18" x14ac:dyDescent="0.2">
      <c r="K246" s="17"/>
      <c r="L246" s="17"/>
      <c r="M246" s="17"/>
      <c r="R246" s="17"/>
    </row>
    <row r="247" spans="11:18" x14ac:dyDescent="0.2">
      <c r="K247" s="17"/>
      <c r="L247" s="17"/>
      <c r="M247" s="17"/>
      <c r="R247" s="17"/>
    </row>
    <row r="248" spans="11:18" x14ac:dyDescent="0.2">
      <c r="K248" s="17"/>
      <c r="L248" s="17"/>
      <c r="M248" s="17"/>
      <c r="R248" s="17"/>
    </row>
    <row r="249" spans="11:18" x14ac:dyDescent="0.2">
      <c r="K249" s="17"/>
      <c r="L249" s="17"/>
      <c r="M249" s="17"/>
      <c r="R249" s="17"/>
    </row>
    <row r="250" spans="11:18" x14ac:dyDescent="0.2">
      <c r="K250" s="17"/>
      <c r="L250" s="17"/>
      <c r="M250" s="17"/>
      <c r="R250" s="17"/>
    </row>
    <row r="251" spans="11:18" x14ac:dyDescent="0.2">
      <c r="K251" s="17"/>
      <c r="L251" s="17"/>
      <c r="M251" s="17"/>
      <c r="R251" s="17"/>
    </row>
    <row r="252" spans="11:18" x14ac:dyDescent="0.2">
      <c r="K252" s="17"/>
      <c r="L252" s="17"/>
      <c r="M252" s="17"/>
      <c r="R252" s="17"/>
    </row>
    <row r="253" spans="11:18" x14ac:dyDescent="0.2">
      <c r="K253" s="17"/>
      <c r="L253" s="17"/>
      <c r="M253" s="17"/>
      <c r="R253" s="17"/>
    </row>
    <row r="254" spans="11:18" x14ac:dyDescent="0.2">
      <c r="K254" s="17"/>
      <c r="L254" s="17"/>
      <c r="M254" s="17"/>
    </row>
    <row r="255" spans="11:18" x14ac:dyDescent="0.2">
      <c r="K255" s="17"/>
      <c r="L255" s="17"/>
      <c r="M255" s="17"/>
    </row>
    <row r="256" spans="11:18" x14ac:dyDescent="0.2">
      <c r="K256" s="17"/>
      <c r="L256" s="17"/>
      <c r="M256" s="17"/>
    </row>
    <row r="257" spans="11:13" x14ac:dyDescent="0.2">
      <c r="K257" s="17"/>
      <c r="L257" s="17"/>
      <c r="M257" s="17"/>
    </row>
    <row r="258" spans="11:13" x14ac:dyDescent="0.2">
      <c r="K258" s="17"/>
      <c r="L258" s="17"/>
      <c r="M258" s="17"/>
    </row>
  </sheetData>
  <autoFilter ref="B3:Q227"/>
  <sortState ref="B101:Q233">
    <sortCondition ref="B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DINÂMICA</vt:lpstr>
      <vt:lpstr>FLUXO</vt:lpstr>
      <vt:lpstr>BANCO DADOS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2025-12-30T12:24:34Z</dcterms:created>
  <dcterms:modified xsi:type="dcterms:W3CDTF">2026-03-07T21:00:46Z</dcterms:modified>
</cp:coreProperties>
</file>